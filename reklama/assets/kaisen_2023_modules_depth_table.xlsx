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ri\OneDrive\Desktop\LED\Kaisen led moduliu tiekejo deliojimo lentele ir kainininkas\"/>
    </mc:Choice>
  </mc:AlternateContent>
  <xr:revisionPtr revIDLastSave="0" documentId="13_ncr:1_{BC88C4EB-F0EC-4E7C-8FAC-BB2DCC91814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eleline, PRISM 120lm and MINI " sheetId="1" r:id="rId1"/>
    <sheet name="PRISM 120lm in the leg" sheetId="5" r:id="rId2"/>
    <sheet name="MINI in the leg" sheetId="6" r:id="rId3"/>
    <sheet name="DS15, DS20 double sided boxes" sheetId="4" r:id="rId4"/>
    <sheet name="PRISM PRO, TelelineTMAX 170lm" sheetId="9" r:id="rId5"/>
  </sheets>
  <calcPr calcId="181029"/>
</workbook>
</file>

<file path=xl/calcChain.xml><?xml version="1.0" encoding="utf-8"?>
<calcChain xmlns="http://schemas.openxmlformats.org/spreadsheetml/2006/main">
  <c r="J129" i="1" l="1"/>
  <c r="I129" i="1"/>
  <c r="G129" i="1"/>
  <c r="F129" i="1"/>
  <c r="E129" i="1"/>
  <c r="D129" i="1"/>
  <c r="R128" i="1"/>
  <c r="J128" i="1"/>
  <c r="I128" i="1"/>
  <c r="G128" i="1"/>
  <c r="F128" i="1"/>
  <c r="E128" i="1"/>
  <c r="D128" i="1"/>
  <c r="R127" i="1"/>
  <c r="J127" i="1"/>
  <c r="I127" i="1"/>
  <c r="G127" i="1"/>
  <c r="F127" i="1"/>
  <c r="E127" i="1"/>
  <c r="D127" i="1"/>
  <c r="R126" i="1"/>
  <c r="R129" i="1" s="1"/>
  <c r="P126" i="1"/>
  <c r="P127" i="1" s="1"/>
  <c r="J126" i="1"/>
  <c r="I126" i="1"/>
  <c r="G126" i="1"/>
  <c r="F126" i="1"/>
  <c r="E126" i="1"/>
  <c r="D126" i="1"/>
  <c r="R124" i="1"/>
  <c r="Q124" i="1"/>
  <c r="Q126" i="1" s="1"/>
  <c r="P124" i="1"/>
  <c r="O124" i="1"/>
  <c r="O126" i="1" s="1"/>
  <c r="N124" i="1"/>
  <c r="N126" i="1" s="1"/>
  <c r="M124" i="1"/>
  <c r="M126" i="1" s="1"/>
  <c r="L124" i="1"/>
  <c r="L126" i="1" s="1"/>
  <c r="K124" i="1"/>
  <c r="K126" i="1" s="1"/>
  <c r="J124" i="1"/>
  <c r="I124" i="1"/>
  <c r="H124" i="1"/>
  <c r="H126" i="1" s="1"/>
  <c r="G124" i="1"/>
  <c r="F124" i="1"/>
  <c r="E124" i="1"/>
  <c r="D124" i="1"/>
  <c r="R119" i="1"/>
  <c r="P119" i="1"/>
  <c r="O119" i="1"/>
  <c r="F119" i="1"/>
  <c r="E119" i="1"/>
  <c r="D119" i="1"/>
  <c r="R118" i="1"/>
  <c r="O118" i="1"/>
  <c r="M118" i="1"/>
  <c r="F118" i="1"/>
  <c r="E118" i="1"/>
  <c r="D118" i="1"/>
  <c r="R117" i="1"/>
  <c r="O117" i="1"/>
  <c r="M117" i="1"/>
  <c r="L117" i="1"/>
  <c r="F117" i="1"/>
  <c r="E117" i="1"/>
  <c r="D117" i="1"/>
  <c r="R116" i="1"/>
  <c r="P116" i="1"/>
  <c r="P118" i="1" s="1"/>
  <c r="O116" i="1"/>
  <c r="M116" i="1"/>
  <c r="M119" i="1" s="1"/>
  <c r="L116" i="1"/>
  <c r="L118" i="1" s="1"/>
  <c r="G116" i="1"/>
  <c r="G119" i="1" s="1"/>
  <c r="F116" i="1"/>
  <c r="E116" i="1"/>
  <c r="D116" i="1"/>
  <c r="R114" i="1"/>
  <c r="Q114" i="1"/>
  <c r="Q116" i="1" s="1"/>
  <c r="P114" i="1"/>
  <c r="O114" i="1"/>
  <c r="N114" i="1"/>
  <c r="N116" i="1" s="1"/>
  <c r="M114" i="1"/>
  <c r="L114" i="1"/>
  <c r="K114" i="1"/>
  <c r="K116" i="1" s="1"/>
  <c r="J114" i="1"/>
  <c r="J116" i="1" s="1"/>
  <c r="I114" i="1"/>
  <c r="I116" i="1" s="1"/>
  <c r="H114" i="1"/>
  <c r="H116" i="1" s="1"/>
  <c r="G114" i="1"/>
  <c r="J117" i="1" l="1"/>
  <c r="J118" i="1"/>
  <c r="J119" i="1"/>
  <c r="H129" i="1"/>
  <c r="H128" i="1"/>
  <c r="H127" i="1"/>
  <c r="K117" i="1"/>
  <c r="K118" i="1"/>
  <c r="K119" i="1"/>
  <c r="Q118" i="1"/>
  <c r="Q119" i="1"/>
  <c r="Q117" i="1"/>
  <c r="K128" i="1"/>
  <c r="K127" i="1"/>
  <c r="K129" i="1"/>
  <c r="L127" i="1"/>
  <c r="L128" i="1"/>
  <c r="L129" i="1"/>
  <c r="Q128" i="1"/>
  <c r="Q129" i="1"/>
  <c r="Q127" i="1"/>
  <c r="M127" i="1"/>
  <c r="M128" i="1"/>
  <c r="M129" i="1"/>
  <c r="O127" i="1"/>
  <c r="O128" i="1"/>
  <c r="O129" i="1"/>
  <c r="N119" i="1"/>
  <c r="N117" i="1"/>
  <c r="N118" i="1"/>
  <c r="H117" i="1"/>
  <c r="H118" i="1"/>
  <c r="H119" i="1"/>
  <c r="I117" i="1"/>
  <c r="I118" i="1"/>
  <c r="I119" i="1"/>
  <c r="N127" i="1"/>
  <c r="N128" i="1"/>
  <c r="N129" i="1"/>
  <c r="G118" i="1"/>
  <c r="P117" i="1"/>
  <c r="G117" i="1"/>
  <c r="P129" i="1"/>
  <c r="L119" i="1"/>
  <c r="P128" i="1"/>
  <c r="AE68" i="9" l="1"/>
  <c r="AG65" i="9"/>
  <c r="AG67" i="9" s="1"/>
  <c r="AF65" i="9"/>
  <c r="AF68" i="9" s="1"/>
  <c r="AE65" i="9"/>
  <c r="AE67" i="9" s="1"/>
  <c r="AC66" i="9"/>
  <c r="AB66" i="9"/>
  <c r="AD65" i="9"/>
  <c r="AD68" i="9" s="1"/>
  <c r="AC65" i="9"/>
  <c r="AC68" i="9" s="1"/>
  <c r="AB65" i="9"/>
  <c r="AB68" i="9" s="1"/>
  <c r="Z66" i="9"/>
  <c r="AA65" i="9"/>
  <c r="AA67" i="9" s="1"/>
  <c r="Z65" i="9"/>
  <c r="Z68" i="9" s="1"/>
  <c r="Y65" i="9"/>
  <c r="Y68" i="9" s="1"/>
  <c r="V67" i="9"/>
  <c r="W66" i="9"/>
  <c r="X65" i="9"/>
  <c r="X68" i="9" s="1"/>
  <c r="W65" i="9"/>
  <c r="W68" i="9" s="1"/>
  <c r="V65" i="9"/>
  <c r="V66" i="9" s="1"/>
  <c r="U65" i="9"/>
  <c r="U67" i="9" s="1"/>
  <c r="T65" i="9"/>
  <c r="T67" i="9" s="1"/>
  <c r="S65" i="9"/>
  <c r="S68" i="9" s="1"/>
  <c r="R65" i="9"/>
  <c r="R67" i="9" s="1"/>
  <c r="Q65" i="9"/>
  <c r="Q67" i="9" s="1"/>
  <c r="P65" i="9"/>
  <c r="P68" i="9" s="1"/>
  <c r="N65" i="9"/>
  <c r="N66" i="9" s="1"/>
  <c r="O65" i="9"/>
  <c r="O67" i="9" s="1"/>
  <c r="O66" i="9"/>
  <c r="O68" i="9"/>
  <c r="E67" i="9"/>
  <c r="F66" i="9"/>
  <c r="E66" i="9"/>
  <c r="M65" i="9"/>
  <c r="M66" i="9" s="1"/>
  <c r="L65" i="9"/>
  <c r="L67" i="9" s="1"/>
  <c r="K65" i="9"/>
  <c r="K66" i="9" s="1"/>
  <c r="J65" i="9"/>
  <c r="J66" i="9" s="1"/>
  <c r="I65" i="9"/>
  <c r="I66" i="9" s="1"/>
  <c r="H65" i="9"/>
  <c r="H66" i="9" s="1"/>
  <c r="G65" i="9"/>
  <c r="G68" i="9" s="1"/>
  <c r="F65" i="9"/>
  <c r="F68" i="9" s="1"/>
  <c r="E65" i="9"/>
  <c r="E68" i="9" s="1"/>
  <c r="D65" i="9"/>
  <c r="D67" i="9" s="1"/>
  <c r="AY55" i="9"/>
  <c r="AY56" i="9" s="1"/>
  <c r="AX55" i="9"/>
  <c r="AX58" i="9" s="1"/>
  <c r="AW55" i="9"/>
  <c r="AW58" i="9" s="1"/>
  <c r="AV55" i="9"/>
  <c r="AV58" i="9" s="1"/>
  <c r="AU55" i="9"/>
  <c r="AU58" i="9" s="1"/>
  <c r="AT55" i="9"/>
  <c r="AT58" i="9" s="1"/>
  <c r="AS55" i="9"/>
  <c r="AS58" i="9" s="1"/>
  <c r="AR55" i="9"/>
  <c r="AR57" i="9" s="1"/>
  <c r="AQ55" i="9"/>
  <c r="AQ58" i="9" s="1"/>
  <c r="AP55" i="9"/>
  <c r="AP58" i="9" s="1"/>
  <c r="AO55" i="9"/>
  <c r="AO58" i="9" s="1"/>
  <c r="AN55" i="9"/>
  <c r="AN58" i="9" s="1"/>
  <c r="AM55" i="9"/>
  <c r="AM58" i="9" s="1"/>
  <c r="AL55" i="9"/>
  <c r="AL58" i="9" s="1"/>
  <c r="AK55" i="9"/>
  <c r="AK58" i="9" s="1"/>
  <c r="AJ55" i="9"/>
  <c r="AJ57" i="9" s="1"/>
  <c r="AI55" i="9"/>
  <c r="AI58" i="9" s="1"/>
  <c r="AH55" i="9"/>
  <c r="AH58" i="9" s="1"/>
  <c r="AG55" i="9"/>
  <c r="AG58" i="9" s="1"/>
  <c r="AF55" i="9"/>
  <c r="AF56" i="9" s="1"/>
  <c r="AE55" i="9"/>
  <c r="AE58" i="9" s="1"/>
  <c r="AD55" i="9"/>
  <c r="AD58" i="9" s="1"/>
  <c r="AC55" i="9"/>
  <c r="AC58" i="9" s="1"/>
  <c r="AB55" i="9"/>
  <c r="AB56" i="9" s="1"/>
  <c r="AA55" i="9"/>
  <c r="AA58" i="9" s="1"/>
  <c r="Z55" i="9"/>
  <c r="Z58" i="9" s="1"/>
  <c r="Y55" i="9"/>
  <c r="Y58" i="9" s="1"/>
  <c r="X55" i="9"/>
  <c r="X58" i="9" s="1"/>
  <c r="W55" i="9"/>
  <c r="W58" i="9" s="1"/>
  <c r="V55" i="9"/>
  <c r="V58" i="9" s="1"/>
  <c r="U55" i="9"/>
  <c r="U58" i="9" s="1"/>
  <c r="T55" i="9"/>
  <c r="T58" i="9" s="1"/>
  <c r="S55" i="9"/>
  <c r="S58" i="9" s="1"/>
  <c r="R55" i="9"/>
  <c r="R58" i="9" s="1"/>
  <c r="Q55" i="9"/>
  <c r="Q58" i="9" s="1"/>
  <c r="P55" i="9"/>
  <c r="P58" i="9" s="1"/>
  <c r="O55" i="9"/>
  <c r="O58" i="9" s="1"/>
  <c r="N55" i="9"/>
  <c r="N58" i="9" s="1"/>
  <c r="M55" i="9"/>
  <c r="M58" i="9" s="1"/>
  <c r="L55" i="9"/>
  <c r="L57" i="9" s="1"/>
  <c r="K55" i="9"/>
  <c r="K56" i="9" s="1"/>
  <c r="J55" i="9"/>
  <c r="J58" i="9" s="1"/>
  <c r="I55" i="9"/>
  <c r="I58" i="9" s="1"/>
  <c r="H55" i="9"/>
  <c r="H57" i="9" s="1"/>
  <c r="G55" i="9"/>
  <c r="G58" i="9" s="1"/>
  <c r="F55" i="9"/>
  <c r="F58" i="9" s="1"/>
  <c r="E55" i="9"/>
  <c r="E58" i="9" s="1"/>
  <c r="D55" i="9"/>
  <c r="D58" i="9" s="1"/>
  <c r="AQ45" i="9"/>
  <c r="AQ46" i="9" s="1"/>
  <c r="AP45" i="9"/>
  <c r="AP46" i="9" s="1"/>
  <c r="AO45" i="9"/>
  <c r="AO48" i="9" s="1"/>
  <c r="AN45" i="9"/>
  <c r="AN48" i="9" s="1"/>
  <c r="AM45" i="9"/>
  <c r="AM46" i="9" s="1"/>
  <c r="AL45" i="9"/>
  <c r="AL46" i="9" s="1"/>
  <c r="AK45" i="9"/>
  <c r="AK48" i="9" s="1"/>
  <c r="AJ45" i="9"/>
  <c r="AJ46" i="9" s="1"/>
  <c r="AI45" i="9"/>
  <c r="AI48" i="9" s="1"/>
  <c r="AH45" i="9"/>
  <c r="AH47" i="9" s="1"/>
  <c r="AG45" i="9"/>
  <c r="AG48" i="9" s="1"/>
  <c r="AF45" i="9"/>
  <c r="AF48" i="9" s="1"/>
  <c r="AE45" i="9"/>
  <c r="AE48" i="9" s="1"/>
  <c r="AD45" i="9"/>
  <c r="AD47" i="9" s="1"/>
  <c r="AC45" i="9"/>
  <c r="AC47" i="9" s="1"/>
  <c r="AB45" i="9"/>
  <c r="AB48" i="9" s="1"/>
  <c r="AA45" i="9"/>
  <c r="AA48" i="9" s="1"/>
  <c r="Z45" i="9"/>
  <c r="Z48" i="9" s="1"/>
  <c r="Y45" i="9"/>
  <c r="Y47" i="9" s="1"/>
  <c r="X45" i="9"/>
  <c r="X47" i="9" s="1"/>
  <c r="W45" i="9"/>
  <c r="W48" i="9" s="1"/>
  <c r="V45" i="9"/>
  <c r="V48" i="9" s="1"/>
  <c r="U45" i="9"/>
  <c r="U48" i="9" s="1"/>
  <c r="T45" i="9"/>
  <c r="T47" i="9" s="1"/>
  <c r="S45" i="9"/>
  <c r="S47" i="9" s="1"/>
  <c r="R45" i="9"/>
  <c r="R46" i="9" s="1"/>
  <c r="Q45" i="9"/>
  <c r="Q48" i="9" s="1"/>
  <c r="P45" i="9"/>
  <c r="P47" i="9" s="1"/>
  <c r="O45" i="9"/>
  <c r="O47" i="9" s="1"/>
  <c r="N45" i="9"/>
  <c r="N46" i="9" s="1"/>
  <c r="M45" i="9"/>
  <c r="M47" i="9" s="1"/>
  <c r="L45" i="9"/>
  <c r="L48" i="9" s="1"/>
  <c r="K45" i="9"/>
  <c r="K48" i="9" s="1"/>
  <c r="J45" i="9"/>
  <c r="J46" i="9" s="1"/>
  <c r="I45" i="9"/>
  <c r="I48" i="9" s="1"/>
  <c r="H45" i="9"/>
  <c r="H47" i="9" s="1"/>
  <c r="G45" i="9"/>
  <c r="G47" i="9" s="1"/>
  <c r="F45" i="9"/>
  <c r="F46" i="9" s="1"/>
  <c r="E45" i="9"/>
  <c r="E47" i="9" s="1"/>
  <c r="D45" i="9"/>
  <c r="D48" i="9" s="1"/>
  <c r="AM37" i="9"/>
  <c r="AN35" i="9"/>
  <c r="AN36" i="9" s="1"/>
  <c r="AM35" i="9"/>
  <c r="AM36" i="9" s="1"/>
  <c r="AL35" i="9"/>
  <c r="AL38" i="9" s="1"/>
  <c r="AK35" i="9"/>
  <c r="AK37" i="9" s="1"/>
  <c r="AJ35" i="9"/>
  <c r="AJ38" i="9" s="1"/>
  <c r="AI35" i="9"/>
  <c r="AI37" i="9" s="1"/>
  <c r="AH35" i="9"/>
  <c r="AH38" i="9" s="1"/>
  <c r="AG35" i="9"/>
  <c r="AG36" i="9" s="1"/>
  <c r="AF35" i="9"/>
  <c r="AF38" i="9" s="1"/>
  <c r="AE35" i="9"/>
  <c r="AE37" i="9" s="1"/>
  <c r="AD35" i="9"/>
  <c r="AD38" i="9" s="1"/>
  <c r="AC35" i="9"/>
  <c r="AC38" i="9" s="1"/>
  <c r="AB35" i="9"/>
  <c r="AB38" i="9" s="1"/>
  <c r="AA35" i="9"/>
  <c r="AA37" i="9" s="1"/>
  <c r="Z35" i="9"/>
  <c r="Z37" i="9" s="1"/>
  <c r="Y36" i="9"/>
  <c r="Y35" i="9"/>
  <c r="Y37" i="9" s="1"/>
  <c r="X35" i="9"/>
  <c r="X36" i="9" s="1"/>
  <c r="W35" i="9"/>
  <c r="W36" i="9" s="1"/>
  <c r="V35" i="9"/>
  <c r="V38" i="9" s="1"/>
  <c r="U35" i="9"/>
  <c r="U36" i="9" s="1"/>
  <c r="T35" i="9"/>
  <c r="T37" i="9" s="1"/>
  <c r="S35" i="9"/>
  <c r="S36" i="9" s="1"/>
  <c r="R35" i="9"/>
  <c r="R36" i="9" s="1"/>
  <c r="Q35" i="9"/>
  <c r="Q38" i="9" s="1"/>
  <c r="P35" i="9"/>
  <c r="P36" i="9" s="1"/>
  <c r="O35" i="9"/>
  <c r="O37" i="9" s="1"/>
  <c r="N35" i="9"/>
  <c r="N37" i="9" s="1"/>
  <c r="M35" i="9"/>
  <c r="M38" i="9" s="1"/>
  <c r="L35" i="9"/>
  <c r="L38" i="9" s="1"/>
  <c r="K35" i="9"/>
  <c r="K38" i="9" s="1"/>
  <c r="J35" i="9"/>
  <c r="J38" i="9" s="1"/>
  <c r="I35" i="9"/>
  <c r="I38" i="9" s="1"/>
  <c r="H35" i="9"/>
  <c r="H38" i="9" s="1"/>
  <c r="G35" i="9"/>
  <c r="G38" i="9" s="1"/>
  <c r="F35" i="9"/>
  <c r="F37" i="9" s="1"/>
  <c r="E35" i="9"/>
  <c r="E38" i="9" s="1"/>
  <c r="D35" i="9"/>
  <c r="D38" i="9" s="1"/>
  <c r="K25" i="9"/>
  <c r="K27" i="9" s="1"/>
  <c r="J25" i="9"/>
  <c r="J27" i="9" s="1"/>
  <c r="I25" i="9"/>
  <c r="I28" i="9" s="1"/>
  <c r="H25" i="9"/>
  <c r="H28" i="9" s="1"/>
  <c r="G25" i="9"/>
  <c r="G26" i="9" s="1"/>
  <c r="F25" i="9"/>
  <c r="F27" i="9" s="1"/>
  <c r="E25" i="9"/>
  <c r="E28" i="9" s="1"/>
  <c r="D25" i="9"/>
  <c r="D28" i="9" s="1"/>
  <c r="AA15" i="9"/>
  <c r="AA18" i="9" s="1"/>
  <c r="Z15" i="9"/>
  <c r="Z18" i="9" s="1"/>
  <c r="Y15" i="9"/>
  <c r="Y16" i="9" s="1"/>
  <c r="X15" i="9"/>
  <c r="X18" i="9" s="1"/>
  <c r="W15" i="9"/>
  <c r="W18" i="9" s="1"/>
  <c r="V15" i="9"/>
  <c r="V16" i="9" s="1"/>
  <c r="U15" i="9"/>
  <c r="U18" i="9" s="1"/>
  <c r="T15" i="9"/>
  <c r="T18" i="9" s="1"/>
  <c r="S15" i="9"/>
  <c r="S16" i="9" s="1"/>
  <c r="R15" i="9"/>
  <c r="R18" i="9" s="1"/>
  <c r="Q15" i="9"/>
  <c r="Q18" i="9" s="1"/>
  <c r="P15" i="9"/>
  <c r="P16" i="9" s="1"/>
  <c r="O15" i="9"/>
  <c r="O17" i="9" s="1"/>
  <c r="N15" i="9"/>
  <c r="N16" i="9" s="1"/>
  <c r="M15" i="9"/>
  <c r="M18" i="9" s="1"/>
  <c r="L15" i="9"/>
  <c r="L18" i="9" s="1"/>
  <c r="K15" i="9"/>
  <c r="K18" i="9" s="1"/>
  <c r="J15" i="9"/>
  <c r="J16" i="9" s="1"/>
  <c r="I15" i="9"/>
  <c r="I18" i="9" s="1"/>
  <c r="H15" i="9"/>
  <c r="H18" i="9" s="1"/>
  <c r="G15" i="9"/>
  <c r="G16" i="9" s="1"/>
  <c r="F15" i="9"/>
  <c r="F17" i="9" s="1"/>
  <c r="E15" i="9"/>
  <c r="E16" i="9" s="1"/>
  <c r="D15" i="9"/>
  <c r="D16" i="9" s="1"/>
  <c r="AI5" i="9"/>
  <c r="AI7" i="9" s="1"/>
  <c r="AH5" i="9"/>
  <c r="AH8" i="9" s="1"/>
  <c r="AG5" i="9"/>
  <c r="AG8" i="9" s="1"/>
  <c r="AF5" i="9"/>
  <c r="AF8" i="9" s="1"/>
  <c r="AE5" i="9"/>
  <c r="AE8" i="9" s="1"/>
  <c r="AD5" i="9"/>
  <c r="AD8" i="9" s="1"/>
  <c r="AC5" i="9"/>
  <c r="AC8" i="9" s="1"/>
  <c r="AB5" i="9"/>
  <c r="AB8" i="9" s="1"/>
  <c r="AA5" i="9"/>
  <c r="AA7" i="9" s="1"/>
  <c r="Z5" i="9"/>
  <c r="Z8" i="9" s="1"/>
  <c r="Y5" i="9"/>
  <c r="Y8" i="9" s="1"/>
  <c r="X5" i="9"/>
  <c r="X7" i="9" s="1"/>
  <c r="W5" i="9"/>
  <c r="W7" i="9" s="1"/>
  <c r="V5" i="9"/>
  <c r="V8" i="9" s="1"/>
  <c r="U5" i="9"/>
  <c r="U8" i="9" s="1"/>
  <c r="T5" i="9"/>
  <c r="T7" i="9" s="1"/>
  <c r="S5" i="9"/>
  <c r="S7" i="9" s="1"/>
  <c r="R5" i="9"/>
  <c r="R8" i="9" s="1"/>
  <c r="Q5" i="9"/>
  <c r="Q8" i="9" s="1"/>
  <c r="M5" i="9"/>
  <c r="M6" i="9" s="1"/>
  <c r="N5" i="9"/>
  <c r="N7" i="9" s="1"/>
  <c r="O5" i="9"/>
  <c r="O7" i="9" s="1"/>
  <c r="P5" i="9"/>
  <c r="P6" i="9" s="1"/>
  <c r="H5" i="9"/>
  <c r="H6" i="9" s="1"/>
  <c r="I5" i="9"/>
  <c r="I6" i="9" s="1"/>
  <c r="L5" i="9"/>
  <c r="L6" i="9" s="1"/>
  <c r="K5" i="9"/>
  <c r="K6" i="9" s="1"/>
  <c r="J5" i="9"/>
  <c r="J6" i="9" s="1"/>
  <c r="G5" i="9"/>
  <c r="G8" i="9" s="1"/>
  <c r="F5" i="9"/>
  <c r="F8" i="9" s="1"/>
  <c r="E5" i="9"/>
  <c r="E7" i="9" s="1"/>
  <c r="D5" i="9"/>
  <c r="D6" i="9" s="1"/>
  <c r="Y67" i="9" l="1"/>
  <c r="Z67" i="9"/>
  <c r="P66" i="9"/>
  <c r="Q66" i="9"/>
  <c r="P67" i="9"/>
  <c r="Q68" i="9"/>
  <c r="AM48" i="9"/>
  <c r="M67" i="9"/>
  <c r="S66" i="9"/>
  <c r="AP48" i="9"/>
  <c r="T66" i="9"/>
  <c r="X66" i="9"/>
  <c r="L66" i="9"/>
  <c r="S67" i="9"/>
  <c r="T68" i="9"/>
  <c r="AF47" i="9"/>
  <c r="AB67" i="9"/>
  <c r="AQ47" i="9"/>
  <c r="H68" i="9"/>
  <c r="Z36" i="9"/>
  <c r="AQ48" i="9"/>
  <c r="F67" i="9"/>
  <c r="V68" i="9"/>
  <c r="AA36" i="9"/>
  <c r="X46" i="9"/>
  <c r="AC46" i="9"/>
  <c r="G67" i="9"/>
  <c r="R38" i="9"/>
  <c r="U38" i="9"/>
  <c r="Z38" i="9"/>
  <c r="T46" i="9"/>
  <c r="Z47" i="9"/>
  <c r="AD46" i="9"/>
  <c r="AJ47" i="9"/>
  <c r="AN46" i="9"/>
  <c r="H67" i="9"/>
  <c r="AE66" i="9"/>
  <c r="T38" i="9"/>
  <c r="U47" i="9"/>
  <c r="AA47" i="9"/>
  <c r="AE47" i="9"/>
  <c r="AJ48" i="9"/>
  <c r="AM47" i="9"/>
  <c r="D66" i="9"/>
  <c r="AL48" i="9"/>
  <c r="AN47" i="9"/>
  <c r="Y66" i="9"/>
  <c r="AG68" i="9"/>
  <c r="AF66" i="9"/>
  <c r="AG66" i="9"/>
  <c r="AF67" i="9"/>
  <c r="AD66" i="9"/>
  <c r="AC67" i="9"/>
  <c r="AD67" i="9"/>
  <c r="AA68" i="9"/>
  <c r="AA66" i="9"/>
  <c r="W67" i="9"/>
  <c r="X67" i="9"/>
  <c r="U68" i="9"/>
  <c r="U66" i="9"/>
  <c r="R68" i="9"/>
  <c r="R66" i="9"/>
  <c r="M68" i="9"/>
  <c r="N68" i="9"/>
  <c r="N67" i="9"/>
  <c r="G66" i="9"/>
  <c r="I67" i="9"/>
  <c r="K68" i="9"/>
  <c r="I68" i="9"/>
  <c r="J68" i="9"/>
  <c r="J67" i="9"/>
  <c r="D68" i="9"/>
  <c r="L68" i="9"/>
  <c r="K67" i="9"/>
  <c r="S56" i="9"/>
  <c r="AQ56" i="9"/>
  <c r="K57" i="9"/>
  <c r="AI57" i="9"/>
  <c r="K58" i="9"/>
  <c r="AY58" i="9"/>
  <c r="L56" i="9"/>
  <c r="AR56" i="9"/>
  <c r="AB57" i="9"/>
  <c r="AB58" i="9"/>
  <c r="AJ58" i="9"/>
  <c r="AR58" i="9"/>
  <c r="E56" i="9"/>
  <c r="M56" i="9"/>
  <c r="U56" i="9"/>
  <c r="AC56" i="9"/>
  <c r="AK56" i="9"/>
  <c r="AS56" i="9"/>
  <c r="E57" i="9"/>
  <c r="M57" i="9"/>
  <c r="U57" i="9"/>
  <c r="AC57" i="9"/>
  <c r="AK57" i="9"/>
  <c r="AS57" i="9"/>
  <c r="F56" i="9"/>
  <c r="N56" i="9"/>
  <c r="V56" i="9"/>
  <c r="AD56" i="9"/>
  <c r="AL56" i="9"/>
  <c r="AT56" i="9"/>
  <c r="F57" i="9"/>
  <c r="N57" i="9"/>
  <c r="V57" i="9"/>
  <c r="AD57" i="9"/>
  <c r="AL57" i="9"/>
  <c r="AT57" i="9"/>
  <c r="AI56" i="9"/>
  <c r="S57" i="9"/>
  <c r="AY57" i="9"/>
  <c r="D56" i="9"/>
  <c r="T56" i="9"/>
  <c r="AJ56" i="9"/>
  <c r="D57" i="9"/>
  <c r="T57" i="9"/>
  <c r="L58" i="9"/>
  <c r="G56" i="9"/>
  <c r="O56" i="9"/>
  <c r="W56" i="9"/>
  <c r="AE56" i="9"/>
  <c r="AM56" i="9"/>
  <c r="AU56" i="9"/>
  <c r="G57" i="9"/>
  <c r="O57" i="9"/>
  <c r="W57" i="9"/>
  <c r="AE57" i="9"/>
  <c r="AM57" i="9"/>
  <c r="AU57" i="9"/>
  <c r="AA56" i="9"/>
  <c r="AA57" i="9"/>
  <c r="AQ57" i="9"/>
  <c r="P56" i="9"/>
  <c r="X56" i="9"/>
  <c r="AN56" i="9"/>
  <c r="AV56" i="9"/>
  <c r="P57" i="9"/>
  <c r="X57" i="9"/>
  <c r="AF57" i="9"/>
  <c r="AV57" i="9"/>
  <c r="H58" i="9"/>
  <c r="AF58" i="9"/>
  <c r="I56" i="9"/>
  <c r="Q56" i="9"/>
  <c r="Y56" i="9"/>
  <c r="AG56" i="9"/>
  <c r="AO56" i="9"/>
  <c r="AW56" i="9"/>
  <c r="I57" i="9"/>
  <c r="Q57" i="9"/>
  <c r="Y57" i="9"/>
  <c r="AG57" i="9"/>
  <c r="AO57" i="9"/>
  <c r="AW57" i="9"/>
  <c r="H56" i="9"/>
  <c r="AN57" i="9"/>
  <c r="J56" i="9"/>
  <c r="R56" i="9"/>
  <c r="Z56" i="9"/>
  <c r="AH56" i="9"/>
  <c r="AP56" i="9"/>
  <c r="AX56" i="9"/>
  <c r="J57" i="9"/>
  <c r="R57" i="9"/>
  <c r="Z57" i="9"/>
  <c r="AH57" i="9"/>
  <c r="AP57" i="9"/>
  <c r="AX57" i="9"/>
  <c r="AO47" i="9"/>
  <c r="AP47" i="9"/>
  <c r="AO46" i="9"/>
  <c r="AH46" i="9"/>
  <c r="AK47" i="9"/>
  <c r="AI47" i="9"/>
  <c r="AH48" i="9"/>
  <c r="AI46" i="9"/>
  <c r="AL47" i="9"/>
  <c r="AK46" i="9"/>
  <c r="AE46" i="9"/>
  <c r="AC48" i="9"/>
  <c r="AG47" i="9"/>
  <c r="AF46" i="9"/>
  <c r="AD48" i="9"/>
  <c r="AG46" i="9"/>
  <c r="Y46" i="9"/>
  <c r="AB47" i="9"/>
  <c r="Z46" i="9"/>
  <c r="X48" i="9"/>
  <c r="AA46" i="9"/>
  <c r="Y48" i="9"/>
  <c r="AB46" i="9"/>
  <c r="S46" i="9"/>
  <c r="V47" i="9"/>
  <c r="W47" i="9"/>
  <c r="U46" i="9"/>
  <c r="S48" i="9"/>
  <c r="V46" i="9"/>
  <c r="T48" i="9"/>
  <c r="W46" i="9"/>
  <c r="S38" i="9"/>
  <c r="U37" i="9"/>
  <c r="AN37" i="9"/>
  <c r="W38" i="9"/>
  <c r="AM38" i="9"/>
  <c r="T36" i="9"/>
  <c r="X38" i="9"/>
  <c r="AB36" i="9"/>
  <c r="AJ36" i="9"/>
  <c r="AN38" i="9"/>
  <c r="G46" i="9"/>
  <c r="AK38" i="9"/>
  <c r="P37" i="9"/>
  <c r="AB37" i="9"/>
  <c r="AI36" i="9"/>
  <c r="AK36" i="9"/>
  <c r="I46" i="9"/>
  <c r="AC37" i="9"/>
  <c r="AG38" i="9"/>
  <c r="AJ37" i="9"/>
  <c r="Q46" i="9"/>
  <c r="P38" i="9"/>
  <c r="F47" i="9"/>
  <c r="Q47" i="9"/>
  <c r="O46" i="9"/>
  <c r="O48" i="9"/>
  <c r="N47" i="9"/>
  <c r="M48" i="9"/>
  <c r="I47" i="9"/>
  <c r="G48" i="9"/>
  <c r="E48" i="9"/>
  <c r="H46" i="9"/>
  <c r="P46" i="9"/>
  <c r="F48" i="9"/>
  <c r="N48" i="9"/>
  <c r="P48" i="9"/>
  <c r="K46" i="9"/>
  <c r="J47" i="9"/>
  <c r="R47" i="9"/>
  <c r="D46" i="9"/>
  <c r="L46" i="9"/>
  <c r="K47" i="9"/>
  <c r="J48" i="9"/>
  <c r="R48" i="9"/>
  <c r="H48" i="9"/>
  <c r="E46" i="9"/>
  <c r="M46" i="9"/>
  <c r="D47" i="9"/>
  <c r="L47" i="9"/>
  <c r="AL37" i="9"/>
  <c r="AL36" i="9"/>
  <c r="AG37" i="9"/>
  <c r="AE36" i="9"/>
  <c r="AH37" i="9"/>
  <c r="AF37" i="9"/>
  <c r="AI38" i="9"/>
  <c r="AF36" i="9"/>
  <c r="AE38" i="9"/>
  <c r="AH36" i="9"/>
  <c r="AD37" i="9"/>
  <c r="AC36" i="9"/>
  <c r="AA38" i="9"/>
  <c r="AD36" i="9"/>
  <c r="V37" i="9"/>
  <c r="Y38" i="9"/>
  <c r="W37" i="9"/>
  <c r="X37" i="9"/>
  <c r="V36" i="9"/>
  <c r="Q37" i="9"/>
  <c r="R37" i="9"/>
  <c r="S37" i="9"/>
  <c r="Q36" i="9"/>
  <c r="N8" i="9"/>
  <c r="H16" i="9"/>
  <c r="Y17" i="9"/>
  <c r="T17" i="9"/>
  <c r="Q16" i="9"/>
  <c r="P17" i="9"/>
  <c r="Q17" i="9"/>
  <c r="G36" i="9"/>
  <c r="F38" i="9"/>
  <c r="N38" i="9"/>
  <c r="H36" i="9"/>
  <c r="K36" i="9"/>
  <c r="O38" i="9"/>
  <c r="D36" i="9"/>
  <c r="I36" i="9"/>
  <c r="L36" i="9"/>
  <c r="G37" i="9"/>
  <c r="E36" i="9"/>
  <c r="J36" i="9"/>
  <c r="M36" i="9"/>
  <c r="H37" i="9"/>
  <c r="K37" i="9"/>
  <c r="F36" i="9"/>
  <c r="N36" i="9"/>
  <c r="D37" i="9"/>
  <c r="I37" i="9"/>
  <c r="L37" i="9"/>
  <c r="O36" i="9"/>
  <c r="E37" i="9"/>
  <c r="J37" i="9"/>
  <c r="M37" i="9"/>
  <c r="G28" i="9"/>
  <c r="F28" i="9"/>
  <c r="K28" i="9"/>
  <c r="J28" i="9"/>
  <c r="G27" i="9"/>
  <c r="J26" i="9"/>
  <c r="K26" i="9"/>
  <c r="H26" i="9"/>
  <c r="H27" i="9"/>
  <c r="I27" i="9"/>
  <c r="I26" i="9"/>
  <c r="F26" i="9"/>
  <c r="M17" i="9"/>
  <c r="K16" i="9"/>
  <c r="N17" i="9"/>
  <c r="R17" i="9"/>
  <c r="V17" i="9"/>
  <c r="D26" i="9"/>
  <c r="J17" i="9"/>
  <c r="N18" i="9"/>
  <c r="X17" i="9"/>
  <c r="E26" i="9"/>
  <c r="K17" i="9"/>
  <c r="D27" i="9"/>
  <c r="L17" i="9"/>
  <c r="E27" i="9"/>
  <c r="I16" i="9"/>
  <c r="W16" i="9"/>
  <c r="M16" i="9"/>
  <c r="L16" i="9"/>
  <c r="R16" i="9"/>
  <c r="X16" i="9"/>
  <c r="AA16" i="9"/>
  <c r="Z16" i="9"/>
  <c r="W17" i="9"/>
  <c r="Z17" i="9"/>
  <c r="AA17" i="9"/>
  <c r="Y18" i="9"/>
  <c r="V18" i="9"/>
  <c r="T16" i="9"/>
  <c r="U16" i="9"/>
  <c r="S17" i="9"/>
  <c r="S18" i="9"/>
  <c r="U17" i="9"/>
  <c r="P18" i="9"/>
  <c r="O18" i="9"/>
  <c r="O16" i="9"/>
  <c r="J18" i="9"/>
  <c r="G17" i="9"/>
  <c r="H17" i="9"/>
  <c r="I17" i="9"/>
  <c r="G18" i="9"/>
  <c r="M8" i="9"/>
  <c r="AI6" i="9"/>
  <c r="X6" i="9"/>
  <c r="T6" i="9"/>
  <c r="S8" i="9"/>
  <c r="X8" i="9"/>
  <c r="T8" i="9"/>
  <c r="W8" i="9"/>
  <c r="D17" i="9"/>
  <c r="E18" i="9"/>
  <c r="F16" i="9"/>
  <c r="F18" i="9"/>
  <c r="D18" i="9"/>
  <c r="E17" i="9"/>
  <c r="N6" i="9"/>
  <c r="O8" i="9"/>
  <c r="M7" i="9"/>
  <c r="O6" i="9"/>
  <c r="S6" i="9"/>
  <c r="W6" i="9"/>
  <c r="AI8" i="9"/>
  <c r="AG7" i="9"/>
  <c r="AH7" i="9"/>
  <c r="AG6" i="9"/>
  <c r="AH6" i="9"/>
  <c r="AC7" i="9"/>
  <c r="AF7" i="9"/>
  <c r="AD7" i="9"/>
  <c r="AE7" i="9"/>
  <c r="AC6" i="9"/>
  <c r="AD6" i="9"/>
  <c r="AE6" i="9"/>
  <c r="AF6" i="9"/>
  <c r="Y7" i="9"/>
  <c r="Z7" i="9"/>
  <c r="Y6" i="9"/>
  <c r="AA6" i="9"/>
  <c r="AA8" i="9"/>
  <c r="AB7" i="9"/>
  <c r="Z6" i="9"/>
  <c r="AB6" i="9"/>
  <c r="U7" i="9"/>
  <c r="U6" i="9"/>
  <c r="V7" i="9"/>
  <c r="V6" i="9"/>
  <c r="Q7" i="9"/>
  <c r="R7" i="9"/>
  <c r="Q6" i="9"/>
  <c r="R6" i="9"/>
  <c r="P7" i="9"/>
  <c r="P8" i="9"/>
  <c r="H8" i="9"/>
  <c r="I7" i="9"/>
  <c r="I8" i="9"/>
  <c r="H7" i="9"/>
  <c r="F7" i="9"/>
  <c r="G7" i="9"/>
  <c r="E6" i="9"/>
  <c r="J7" i="9"/>
  <c r="F6" i="9"/>
  <c r="J8" i="9"/>
  <c r="K8" i="9"/>
  <c r="D8" i="9"/>
  <c r="L8" i="9"/>
  <c r="G6" i="9"/>
  <c r="K7" i="9"/>
  <c r="D7" i="9"/>
  <c r="E8" i="9"/>
  <c r="L7" i="9"/>
  <c r="E25" i="1"/>
  <c r="E26" i="1" s="1"/>
  <c r="F25" i="1"/>
  <c r="F26" i="1" s="1"/>
  <c r="G25" i="1"/>
  <c r="G26" i="1" s="1"/>
  <c r="H25" i="1"/>
  <c r="H26" i="1" s="1"/>
  <c r="I25" i="1"/>
  <c r="I26" i="1" s="1"/>
  <c r="J25" i="1"/>
  <c r="J26" i="1" s="1"/>
  <c r="K25" i="1"/>
  <c r="K26" i="1" s="1"/>
  <c r="L25" i="1"/>
  <c r="L26" i="1" s="1"/>
  <c r="M25" i="1"/>
  <c r="M26" i="1" s="1"/>
  <c r="N25" i="1"/>
  <c r="N26" i="1" s="1"/>
  <c r="O25" i="1"/>
  <c r="O26" i="1" s="1"/>
  <c r="P25" i="1"/>
  <c r="P26" i="1" s="1"/>
  <c r="Q25" i="1"/>
  <c r="Q26" i="1" s="1"/>
  <c r="R25" i="1"/>
  <c r="R26" i="1" s="1"/>
  <c r="S25" i="1"/>
  <c r="S26" i="1" s="1"/>
  <c r="T25" i="1"/>
  <c r="T26" i="1" s="1"/>
  <c r="U25" i="1"/>
  <c r="U26" i="1" s="1"/>
  <c r="V25" i="1"/>
  <c r="V26" i="1" s="1"/>
  <c r="W25" i="1"/>
  <c r="W26" i="1" s="1"/>
  <c r="X25" i="1"/>
  <c r="X26" i="1" s="1"/>
  <c r="Y25" i="1"/>
  <c r="Y26" i="1" s="1"/>
  <c r="Z25" i="1"/>
  <c r="Z26" i="1" s="1"/>
  <c r="AA25" i="1"/>
  <c r="AA26" i="1" s="1"/>
  <c r="AB25" i="1"/>
  <c r="AB26" i="1" s="1"/>
  <c r="AC25" i="1"/>
  <c r="AC26" i="1" s="1"/>
  <c r="AD25" i="1"/>
  <c r="AD26" i="1" s="1"/>
  <c r="AD28" i="1" l="1"/>
  <c r="AC28" i="1"/>
  <c r="AB28" i="1"/>
  <c r="AA28" i="1"/>
  <c r="Z28" i="1"/>
  <c r="Y28" i="1"/>
  <c r="X28" i="1"/>
  <c r="W28" i="1"/>
  <c r="U28" i="1"/>
  <c r="T28" i="1"/>
  <c r="S27" i="1"/>
  <c r="R28" i="1"/>
  <c r="Q28" i="1"/>
  <c r="P28" i="1"/>
  <c r="O28" i="1"/>
  <c r="N28" i="1"/>
  <c r="M28" i="1"/>
  <c r="L28" i="1"/>
  <c r="K28" i="1"/>
  <c r="J28" i="1"/>
  <c r="I28" i="1"/>
  <c r="H28" i="1"/>
  <c r="G28" i="1"/>
  <c r="E27" i="1"/>
  <c r="D25" i="1"/>
  <c r="D27" i="1" s="1"/>
  <c r="G56" i="1"/>
  <c r="G59" i="1" s="1"/>
  <c r="H56" i="1"/>
  <c r="H59" i="1" s="1"/>
  <c r="I56" i="1"/>
  <c r="I59" i="1" s="1"/>
  <c r="J56" i="1"/>
  <c r="J59" i="1" s="1"/>
  <c r="K56" i="1"/>
  <c r="K57" i="1" s="1"/>
  <c r="L56" i="1"/>
  <c r="L57" i="1" s="1"/>
  <c r="M56" i="1"/>
  <c r="M58" i="1" s="1"/>
  <c r="N56" i="1"/>
  <c r="N59" i="1" s="1"/>
  <c r="O56" i="1"/>
  <c r="O59" i="1" s="1"/>
  <c r="P56" i="1"/>
  <c r="P59" i="1" s="1"/>
  <c r="Q56" i="1"/>
  <c r="Q57" i="1" s="1"/>
  <c r="R56" i="1"/>
  <c r="R57" i="1" s="1"/>
  <c r="S56" i="1"/>
  <c r="S57" i="1" s="1"/>
  <c r="T56" i="1"/>
  <c r="T58" i="1" s="1"/>
  <c r="U56" i="1"/>
  <c r="U58" i="1" s="1"/>
  <c r="V56" i="1"/>
  <c r="V58" i="1" s="1"/>
  <c r="W56" i="1"/>
  <c r="W59" i="1" s="1"/>
  <c r="X56" i="1"/>
  <c r="X59" i="1" s="1"/>
  <c r="Y56" i="1"/>
  <c r="Y59" i="1" s="1"/>
  <c r="P57" i="1" l="1"/>
  <c r="N57" i="1"/>
  <c r="D26" i="1"/>
  <c r="O57" i="1"/>
  <c r="T27" i="1"/>
  <c r="D28" i="1"/>
  <c r="Q58" i="1"/>
  <c r="H27" i="1"/>
  <c r="X27" i="1"/>
  <c r="U27" i="1"/>
  <c r="G27" i="1"/>
  <c r="P58" i="1"/>
  <c r="I27" i="1"/>
  <c r="V28" i="1"/>
  <c r="R58" i="1"/>
  <c r="O58" i="1"/>
  <c r="J27" i="1"/>
  <c r="Y27" i="1"/>
  <c r="V27" i="1"/>
  <c r="N58" i="1"/>
  <c r="K27" i="1"/>
  <c r="Z27" i="1"/>
  <c r="E28" i="1"/>
  <c r="F28" i="1"/>
  <c r="V59" i="1"/>
  <c r="L27" i="1"/>
  <c r="S28" i="1"/>
  <c r="U59" i="1"/>
  <c r="M27" i="1"/>
  <c r="AA27" i="1"/>
  <c r="F27" i="1"/>
  <c r="T59" i="1"/>
  <c r="N27" i="1"/>
  <c r="AB27" i="1"/>
  <c r="S59" i="1"/>
  <c r="O27" i="1"/>
  <c r="S58" i="1"/>
  <c r="W27" i="1"/>
  <c r="R59" i="1"/>
  <c r="P27" i="1"/>
  <c r="AC27" i="1"/>
  <c r="Q59" i="1"/>
  <c r="Q27" i="1"/>
  <c r="AD27" i="1"/>
  <c r="R27" i="1"/>
  <c r="M57" i="1"/>
  <c r="Y57" i="1"/>
  <c r="I57" i="1"/>
  <c r="L58" i="1"/>
  <c r="X57" i="1"/>
  <c r="H57" i="1"/>
  <c r="K58" i="1"/>
  <c r="J57" i="1"/>
  <c r="W57" i="1"/>
  <c r="G57" i="1"/>
  <c r="J58" i="1"/>
  <c r="M59" i="1"/>
  <c r="V57" i="1"/>
  <c r="Y58" i="1"/>
  <c r="I58" i="1"/>
  <c r="L59" i="1"/>
  <c r="U57" i="1"/>
  <c r="X58" i="1"/>
  <c r="H58" i="1"/>
  <c r="K59" i="1"/>
  <c r="T57" i="1"/>
  <c r="W58" i="1"/>
  <c r="G58" i="1"/>
  <c r="G66" i="1" l="1"/>
  <c r="G69" i="1" s="1"/>
  <c r="H66" i="1"/>
  <c r="H69" i="1" s="1"/>
  <c r="I66" i="1"/>
  <c r="I69" i="1" s="1"/>
  <c r="J66" i="1"/>
  <c r="J69" i="1" s="1"/>
  <c r="K66" i="1"/>
  <c r="K69" i="1" s="1"/>
  <c r="L66" i="1"/>
  <c r="L68" i="1" s="1"/>
  <c r="M66" i="1"/>
  <c r="M68" i="1" s="1"/>
  <c r="N66" i="1"/>
  <c r="N68" i="1" s="1"/>
  <c r="O66" i="1"/>
  <c r="O68" i="1" s="1"/>
  <c r="P66" i="1"/>
  <c r="P68" i="1" s="1"/>
  <c r="Q66" i="1"/>
  <c r="Q68" i="1" s="1"/>
  <c r="R66" i="1"/>
  <c r="R67" i="1" s="1"/>
  <c r="S66" i="1"/>
  <c r="S67" i="1" s="1"/>
  <c r="T66" i="1"/>
  <c r="T67" i="1" s="1"/>
  <c r="U66" i="1"/>
  <c r="U67" i="1" s="1"/>
  <c r="V66" i="1"/>
  <c r="V67" i="1" s="1"/>
  <c r="W66" i="1"/>
  <c r="W69" i="1" s="1"/>
  <c r="X66" i="1"/>
  <c r="X69" i="1" s="1"/>
  <c r="Y66" i="1"/>
  <c r="Y69" i="1" s="1"/>
  <c r="Z66" i="1"/>
  <c r="Z69" i="1" s="1"/>
  <c r="AA66" i="1"/>
  <c r="AA69" i="1" s="1"/>
  <c r="AB66" i="1"/>
  <c r="AB68" i="1" s="1"/>
  <c r="AC66" i="1"/>
  <c r="AC68" i="1" s="1"/>
  <c r="AD66" i="1"/>
  <c r="AD68" i="1" s="1"/>
  <c r="AE66" i="1"/>
  <c r="AE68" i="1" s="1"/>
  <c r="AF66" i="1"/>
  <c r="AF68" i="1" s="1"/>
  <c r="AG66" i="1"/>
  <c r="AG68" i="1" s="1"/>
  <c r="H67" i="1" l="1"/>
  <c r="X67" i="1"/>
  <c r="AA68" i="1"/>
  <c r="K68" i="1"/>
  <c r="V69" i="1"/>
  <c r="I67" i="1"/>
  <c r="Y67" i="1"/>
  <c r="Z68" i="1"/>
  <c r="J68" i="1"/>
  <c r="U69" i="1"/>
  <c r="J67" i="1"/>
  <c r="Z67" i="1"/>
  <c r="Y68" i="1"/>
  <c r="I68" i="1"/>
  <c r="T69" i="1"/>
  <c r="K67" i="1"/>
  <c r="AA67" i="1"/>
  <c r="X68" i="1"/>
  <c r="H68" i="1"/>
  <c r="S69" i="1"/>
  <c r="L67" i="1"/>
  <c r="AB67" i="1"/>
  <c r="W68" i="1"/>
  <c r="G68" i="1"/>
  <c r="R69" i="1"/>
  <c r="M67" i="1"/>
  <c r="AC67" i="1"/>
  <c r="V68" i="1"/>
  <c r="AG69" i="1"/>
  <c r="Q69" i="1"/>
  <c r="N67" i="1"/>
  <c r="AD67" i="1"/>
  <c r="U68" i="1"/>
  <c r="AF69" i="1"/>
  <c r="P69" i="1"/>
  <c r="O67" i="1"/>
  <c r="AE67" i="1"/>
  <c r="T68" i="1"/>
  <c r="AE69" i="1"/>
  <c r="O69" i="1"/>
  <c r="P67" i="1"/>
  <c r="AF67" i="1"/>
  <c r="S68" i="1"/>
  <c r="AD69" i="1"/>
  <c r="N69" i="1"/>
  <c r="Q67" i="1"/>
  <c r="AG67" i="1"/>
  <c r="R68" i="1"/>
  <c r="AC69" i="1"/>
  <c r="M69" i="1"/>
  <c r="AB69" i="1"/>
  <c r="L69" i="1"/>
  <c r="G67" i="1"/>
  <c r="W67" i="1"/>
  <c r="F66" i="1"/>
  <c r="E66" i="1"/>
  <c r="D66" i="1"/>
  <c r="F56" i="1"/>
  <c r="F57" i="1" s="1"/>
  <c r="E56" i="1"/>
  <c r="D56" i="1"/>
  <c r="D57" i="1" s="1"/>
  <c r="E58" i="1" l="1"/>
  <c r="E57" i="1"/>
  <c r="E59" i="1"/>
  <c r="F58" i="1"/>
  <c r="D59" i="1"/>
  <c r="F59" i="1"/>
  <c r="E69" i="1"/>
  <c r="E67" i="1"/>
  <c r="D68" i="1"/>
  <c r="D67" i="1"/>
  <c r="F69" i="1"/>
  <c r="F67" i="1"/>
  <c r="D69" i="1"/>
  <c r="E68" i="1"/>
  <c r="F68" i="1"/>
  <c r="D58" i="1"/>
  <c r="D35" i="1"/>
  <c r="D36" i="1" s="1"/>
  <c r="E35" i="1"/>
  <c r="E37" i="1" s="1"/>
  <c r="F35" i="1"/>
  <c r="F36" i="1" s="1"/>
  <c r="G35" i="1"/>
  <c r="G36" i="1" s="1"/>
  <c r="H35" i="1"/>
  <c r="H37" i="1" s="1"/>
  <c r="I35" i="1"/>
  <c r="I37" i="1" s="1"/>
  <c r="J35" i="1"/>
  <c r="J38" i="1" s="1"/>
  <c r="K35" i="1"/>
  <c r="K38" i="1" s="1"/>
  <c r="L35" i="1"/>
  <c r="L38" i="1" s="1"/>
  <c r="M35" i="1"/>
  <c r="M38" i="1" s="1"/>
  <c r="N35" i="1"/>
  <c r="N38" i="1" s="1"/>
  <c r="O35" i="1"/>
  <c r="O38" i="1" s="1"/>
  <c r="P35" i="1"/>
  <c r="P38" i="1" s="1"/>
  <c r="Q35" i="1"/>
  <c r="Q38" i="1" s="1"/>
  <c r="R35" i="1"/>
  <c r="R38" i="1" s="1"/>
  <c r="S35" i="1"/>
  <c r="T35" i="1"/>
  <c r="T38" i="1" s="1"/>
  <c r="U35" i="1"/>
  <c r="U36" i="1" s="1"/>
  <c r="V35" i="1"/>
  <c r="V36" i="1" s="1"/>
  <c r="W35" i="1"/>
  <c r="W36" i="1" s="1"/>
  <c r="X35" i="1"/>
  <c r="X37" i="1" s="1"/>
  <c r="Y35" i="1"/>
  <c r="Y37" i="1" s="1"/>
  <c r="Z35" i="1"/>
  <c r="Z38" i="1" s="1"/>
  <c r="AA35" i="1"/>
  <c r="AA38" i="1" s="1"/>
  <c r="AB35" i="1"/>
  <c r="AB38" i="1" s="1"/>
  <c r="AC35" i="1"/>
  <c r="AC38" i="1" s="1"/>
  <c r="AD35" i="1"/>
  <c r="AD38" i="1" s="1"/>
  <c r="AE35" i="1"/>
  <c r="AE38" i="1" s="1"/>
  <c r="AF35" i="1"/>
  <c r="AF38" i="1" s="1"/>
  <c r="AG35" i="1"/>
  <c r="AG38" i="1" s="1"/>
  <c r="D45" i="1"/>
  <c r="D47" i="1" s="1"/>
  <c r="E45" i="1"/>
  <c r="E47" i="1" s="1"/>
  <c r="F45" i="1"/>
  <c r="F47" i="1" s="1"/>
  <c r="G45" i="1"/>
  <c r="G46" i="1" s="1"/>
  <c r="H45" i="1"/>
  <c r="H46" i="1" s="1"/>
  <c r="I45" i="1"/>
  <c r="I46" i="1" s="1"/>
  <c r="J45" i="1"/>
  <c r="J46" i="1" s="1"/>
  <c r="K45" i="1"/>
  <c r="L45" i="1"/>
  <c r="L48" i="1" s="1"/>
  <c r="M45" i="1"/>
  <c r="M48" i="1" s="1"/>
  <c r="N45" i="1"/>
  <c r="N47" i="1" s="1"/>
  <c r="O45" i="1"/>
  <c r="O46" i="1" s="1"/>
  <c r="P45" i="1"/>
  <c r="P47" i="1" s="1"/>
  <c r="Q45" i="1"/>
  <c r="Q48" i="1" s="1"/>
  <c r="R45" i="1"/>
  <c r="R47" i="1" s="1"/>
  <c r="S45" i="1"/>
  <c r="S47" i="1" s="1"/>
  <c r="T45" i="1"/>
  <c r="T47" i="1" s="1"/>
  <c r="U45" i="1"/>
  <c r="U47" i="1" s="1"/>
  <c r="V45" i="1"/>
  <c r="V47" i="1" s="1"/>
  <c r="W45" i="1"/>
  <c r="W46" i="1" s="1"/>
  <c r="X45" i="1"/>
  <c r="X46" i="1" s="1"/>
  <c r="Y45" i="1"/>
  <c r="Y46" i="1" s="1"/>
  <c r="Z45" i="1"/>
  <c r="Z46" i="1" s="1"/>
  <c r="AA45" i="1"/>
  <c r="AB45" i="1"/>
  <c r="AB48" i="1" s="1"/>
  <c r="AC45" i="1"/>
  <c r="AC48" i="1" s="1"/>
  <c r="AD45" i="1"/>
  <c r="AD47" i="1" s="1"/>
  <c r="AE45" i="1"/>
  <c r="AE48" i="1" s="1"/>
  <c r="AF45" i="1"/>
  <c r="AF48" i="1" s="1"/>
  <c r="AG45" i="1"/>
  <c r="AG48" i="1" s="1"/>
  <c r="AH45" i="1"/>
  <c r="AH47" i="1" s="1"/>
  <c r="AI45" i="1"/>
  <c r="AI47" i="1" s="1"/>
  <c r="AJ45" i="1"/>
  <c r="AJ47" i="1" s="1"/>
  <c r="AK45" i="1"/>
  <c r="AK47" i="1" s="1"/>
  <c r="AL45" i="1"/>
  <c r="AL47" i="1" s="1"/>
  <c r="AM45" i="1"/>
  <c r="AM46" i="1" s="1"/>
  <c r="AN45" i="1"/>
  <c r="AN46" i="1" s="1"/>
  <c r="D76" i="1"/>
  <c r="D77" i="1" s="1"/>
  <c r="E76" i="1"/>
  <c r="E77" i="1" s="1"/>
  <c r="F76" i="1"/>
  <c r="F79" i="1" s="1"/>
  <c r="G76" i="1"/>
  <c r="H76" i="1"/>
  <c r="H79" i="1" s="1"/>
  <c r="I76" i="1"/>
  <c r="I79" i="1" s="1"/>
  <c r="J76" i="1"/>
  <c r="J77" i="1" s="1"/>
  <c r="K76" i="1"/>
  <c r="K77" i="1" s="1"/>
  <c r="L76" i="1"/>
  <c r="L78" i="1" s="1"/>
  <c r="M76" i="1"/>
  <c r="M78" i="1" s="1"/>
  <c r="N76" i="1"/>
  <c r="N79" i="1" s="1"/>
  <c r="O76" i="1"/>
  <c r="O78" i="1" s="1"/>
  <c r="P76" i="1"/>
  <c r="P78" i="1" s="1"/>
  <c r="Q76" i="1"/>
  <c r="Q78" i="1" s="1"/>
  <c r="R76" i="1"/>
  <c r="R77" i="1" s="1"/>
  <c r="S76" i="1"/>
  <c r="S77" i="1" s="1"/>
  <c r="T76" i="1"/>
  <c r="T77" i="1" s="1"/>
  <c r="U76" i="1"/>
  <c r="U77" i="1" s="1"/>
  <c r="V76" i="1"/>
  <c r="V79" i="1" s="1"/>
  <c r="W76" i="1"/>
  <c r="X76" i="1"/>
  <c r="X79" i="1" s="1"/>
  <c r="Y76" i="1"/>
  <c r="Y79" i="1" s="1"/>
  <c r="Z76" i="1"/>
  <c r="Z79" i="1" s="1"/>
  <c r="AA76" i="1"/>
  <c r="AA79" i="1" s="1"/>
  <c r="AB76" i="1"/>
  <c r="AB78" i="1" s="1"/>
  <c r="AC76" i="1"/>
  <c r="AC77" i="1" s="1"/>
  <c r="AD76" i="1"/>
  <c r="AD77" i="1" s="1"/>
  <c r="AE76" i="1"/>
  <c r="AE78" i="1" s="1"/>
  <c r="AF76" i="1"/>
  <c r="AF78" i="1" s="1"/>
  <c r="AG76" i="1"/>
  <c r="AG78" i="1" s="1"/>
  <c r="AH76" i="1"/>
  <c r="AH77" i="1" s="1"/>
  <c r="AI76" i="1"/>
  <c r="AI77" i="1" s="1"/>
  <c r="AJ76" i="1"/>
  <c r="AJ77" i="1" s="1"/>
  <c r="AK76" i="1"/>
  <c r="AK77" i="1" s="1"/>
  <c r="AL76" i="1"/>
  <c r="AL79" i="1" s="1"/>
  <c r="AM76" i="1"/>
  <c r="AN76" i="1"/>
  <c r="AN79" i="1" s="1"/>
  <c r="AO76" i="1"/>
  <c r="AO79" i="1" s="1"/>
  <c r="AP76" i="1"/>
  <c r="AP79" i="1" s="1"/>
  <c r="AQ76" i="1"/>
  <c r="AQ79" i="1" s="1"/>
  <c r="AR76" i="1"/>
  <c r="AR78" i="1" s="1"/>
  <c r="AS76" i="1"/>
  <c r="AS78" i="1" s="1"/>
  <c r="AT76" i="1"/>
  <c r="AT78" i="1" s="1"/>
  <c r="AU76" i="1"/>
  <c r="AU78" i="1" s="1"/>
  <c r="AV76" i="1"/>
  <c r="AV78" i="1" s="1"/>
  <c r="AW76" i="1"/>
  <c r="AW78" i="1" s="1"/>
  <c r="AX76" i="1"/>
  <c r="AX77" i="1" s="1"/>
  <c r="AY76" i="1"/>
  <c r="AY77" i="1" s="1"/>
  <c r="AZ76" i="1"/>
  <c r="AZ77" i="1" s="1"/>
  <c r="BA76" i="1"/>
  <c r="BA77" i="1" s="1"/>
  <c r="BB76" i="1"/>
  <c r="BB79" i="1" s="1"/>
  <c r="BC76" i="1"/>
  <c r="BD76" i="1"/>
  <c r="BD78" i="1" s="1"/>
  <c r="BE76" i="1"/>
  <c r="BE78" i="1" s="1"/>
  <c r="D86" i="1"/>
  <c r="D89" i="1" s="1"/>
  <c r="E86" i="1"/>
  <c r="E88" i="1" s="1"/>
  <c r="F86" i="1"/>
  <c r="F88" i="1" s="1"/>
  <c r="G86" i="1"/>
  <c r="G88" i="1" s="1"/>
  <c r="H86" i="1"/>
  <c r="H88" i="1" s="1"/>
  <c r="I86" i="1"/>
  <c r="I89" i="1" s="1"/>
  <c r="J86" i="1"/>
  <c r="J88" i="1" s="1"/>
  <c r="K86" i="1"/>
  <c r="K89" i="1" s="1"/>
  <c r="L86" i="1"/>
  <c r="L89" i="1" s="1"/>
  <c r="M86" i="1"/>
  <c r="M88" i="1" s="1"/>
  <c r="N86" i="1"/>
  <c r="N88" i="1" s="1"/>
  <c r="O86" i="1"/>
  <c r="O89" i="1" s="1"/>
  <c r="P86" i="1"/>
  <c r="P89" i="1" s="1"/>
  <c r="Q86" i="1"/>
  <c r="Q88" i="1" s="1"/>
  <c r="R86" i="1"/>
  <c r="R87" i="1" s="1"/>
  <c r="S86" i="1"/>
  <c r="S88" i="1" s="1"/>
  <c r="T86" i="1"/>
  <c r="T87" i="1" s="1"/>
  <c r="U86" i="1"/>
  <c r="U87" i="1" s="1"/>
  <c r="V86" i="1"/>
  <c r="V88" i="1" s="1"/>
  <c r="W86" i="1"/>
  <c r="W88" i="1" s="1"/>
  <c r="X86" i="1"/>
  <c r="X88" i="1" s="1"/>
  <c r="Y86" i="1"/>
  <c r="Y88" i="1" s="1"/>
  <c r="Z86" i="1"/>
  <c r="Z89" i="1" s="1"/>
  <c r="AA86" i="1"/>
  <c r="AA89" i="1" s="1"/>
  <c r="AB86" i="1"/>
  <c r="AB89" i="1" s="1"/>
  <c r="AC86" i="1"/>
  <c r="AC89" i="1" s="1"/>
  <c r="AD86" i="1"/>
  <c r="AD88" i="1" s="1"/>
  <c r="AE86" i="1"/>
  <c r="AE88" i="1" s="1"/>
  <c r="AF86" i="1"/>
  <c r="AF89" i="1" s="1"/>
  <c r="AG86" i="1"/>
  <c r="AG89" i="1" s="1"/>
  <c r="AH86" i="1"/>
  <c r="AH87" i="1" s="1"/>
  <c r="AI86" i="1"/>
  <c r="AI88" i="1" s="1"/>
  <c r="AJ86" i="1"/>
  <c r="AJ87" i="1" s="1"/>
  <c r="AK86" i="1"/>
  <c r="AK87" i="1" s="1"/>
  <c r="AL86" i="1"/>
  <c r="AL87" i="1" s="1"/>
  <c r="AM86" i="1"/>
  <c r="AM88" i="1" s="1"/>
  <c r="AN86" i="1"/>
  <c r="AN89" i="1" s="1"/>
  <c r="AO86" i="1"/>
  <c r="AO88" i="1" s="1"/>
  <c r="AP86" i="1"/>
  <c r="AP89" i="1" s="1"/>
  <c r="AQ86" i="1"/>
  <c r="AQ87" i="1" s="1"/>
  <c r="AR86" i="1"/>
  <c r="AR89" i="1" s="1"/>
  <c r="AS86" i="1"/>
  <c r="AS89" i="1" s="1"/>
  <c r="AT86" i="1"/>
  <c r="AT88" i="1" s="1"/>
  <c r="AU86" i="1"/>
  <c r="AU88" i="1" s="1"/>
  <c r="AV86" i="1"/>
  <c r="AV89" i="1" s="1"/>
  <c r="AW86" i="1"/>
  <c r="AW88" i="1" s="1"/>
  <c r="AX86" i="1"/>
  <c r="AX88" i="1" s="1"/>
  <c r="AY86" i="1"/>
  <c r="AY88" i="1" s="1"/>
  <c r="D96" i="1"/>
  <c r="D97" i="1" s="1"/>
  <c r="E96" i="1"/>
  <c r="E97" i="1" s="1"/>
  <c r="F96" i="1"/>
  <c r="F99" i="1" s="1"/>
  <c r="G96" i="1"/>
  <c r="G98" i="1" s="1"/>
  <c r="H96" i="1"/>
  <c r="H98" i="1" s="1"/>
  <c r="I96" i="1"/>
  <c r="I98" i="1" s="1"/>
  <c r="J96" i="1"/>
  <c r="J99" i="1" s="1"/>
  <c r="K96" i="1"/>
  <c r="K98" i="1" s="1"/>
  <c r="L96" i="1"/>
  <c r="L98" i="1" s="1"/>
  <c r="M96" i="1"/>
  <c r="M99" i="1" s="1"/>
  <c r="N96" i="1"/>
  <c r="N98" i="1" s="1"/>
  <c r="O96" i="1"/>
  <c r="P96" i="1"/>
  <c r="P99" i="1" s="1"/>
  <c r="Q96" i="1"/>
  <c r="Q99" i="1" s="1"/>
  <c r="R96" i="1"/>
  <c r="R99" i="1" s="1"/>
  <c r="S96" i="1"/>
  <c r="S99" i="1" s="1"/>
  <c r="T96" i="1"/>
  <c r="T97" i="1" s="1"/>
  <c r="U96" i="1"/>
  <c r="U98" i="1" s="1"/>
  <c r="V96" i="1"/>
  <c r="V97" i="1" s="1"/>
  <c r="W96" i="1"/>
  <c r="W97" i="1" s="1"/>
  <c r="X96" i="1"/>
  <c r="X98" i="1" s="1"/>
  <c r="Y96" i="1"/>
  <c r="Y98" i="1" s="1"/>
  <c r="Z96" i="1"/>
  <c r="Z98" i="1" s="1"/>
  <c r="AA96" i="1"/>
  <c r="AA98" i="1" s="1"/>
  <c r="AB96" i="1"/>
  <c r="AB98" i="1" s="1"/>
  <c r="AC96" i="1"/>
  <c r="AC99" i="1" s="1"/>
  <c r="AD96" i="1"/>
  <c r="AD98" i="1" s="1"/>
  <c r="AE96" i="1"/>
  <c r="AF96" i="1"/>
  <c r="AF98" i="1" s="1"/>
  <c r="AG96" i="1"/>
  <c r="AG98" i="1" s="1"/>
  <c r="AH96" i="1"/>
  <c r="AH98" i="1" s="1"/>
  <c r="AI96" i="1"/>
  <c r="AI99" i="1" s="1"/>
  <c r="AJ96" i="1"/>
  <c r="AJ97" i="1" s="1"/>
  <c r="AK96" i="1"/>
  <c r="AK99" i="1" s="1"/>
  <c r="AL96" i="1"/>
  <c r="AL98" i="1" s="1"/>
  <c r="AM96" i="1"/>
  <c r="AM97" i="1" s="1"/>
  <c r="AN96" i="1"/>
  <c r="AN97" i="1" s="1"/>
  <c r="AO96" i="1"/>
  <c r="AO98" i="1" s="1"/>
  <c r="AP96" i="1"/>
  <c r="AP98" i="1" s="1"/>
  <c r="AQ96" i="1"/>
  <c r="AQ98" i="1" s="1"/>
  <c r="AR96" i="1"/>
  <c r="AR98" i="1" s="1"/>
  <c r="AS96" i="1"/>
  <c r="AS99" i="1" s="1"/>
  <c r="AT96" i="1"/>
  <c r="AT98" i="1" s="1"/>
  <c r="AU96" i="1"/>
  <c r="AV96" i="1"/>
  <c r="AV98" i="1" s="1"/>
  <c r="AW96" i="1"/>
  <c r="AW98" i="1" s="1"/>
  <c r="AX96" i="1"/>
  <c r="AX98" i="1" s="1"/>
  <c r="AY96" i="1"/>
  <c r="AY98" i="1" s="1"/>
  <c r="AZ96" i="1"/>
  <c r="AZ98" i="1" s="1"/>
  <c r="BA96" i="1"/>
  <c r="BA99" i="1" s="1"/>
  <c r="BB96" i="1"/>
  <c r="BB99" i="1" s="1"/>
  <c r="BC96" i="1"/>
  <c r="BC97" i="1" s="1"/>
  <c r="BD96" i="1"/>
  <c r="BD97" i="1" s="1"/>
  <c r="BE96" i="1"/>
  <c r="BE97" i="1" s="1"/>
  <c r="BF96" i="1"/>
  <c r="BF97" i="1" s="1"/>
  <c r="BG96" i="1"/>
  <c r="BG97" i="1" s="1"/>
  <c r="BH96" i="1"/>
  <c r="BH98" i="1" s="1"/>
  <c r="BI96" i="1"/>
  <c r="BI99" i="1" s="1"/>
  <c r="BJ96" i="1"/>
  <c r="BJ98" i="1" s="1"/>
  <c r="BK96" i="1"/>
  <c r="BL96" i="1"/>
  <c r="BL98" i="1" s="1"/>
  <c r="BM96" i="1"/>
  <c r="BM98" i="1" s="1"/>
  <c r="BN96" i="1"/>
  <c r="BN98" i="1" s="1"/>
  <c r="BO96" i="1"/>
  <c r="BO98" i="1" s="1"/>
  <c r="BP96" i="1"/>
  <c r="BP98" i="1" s="1"/>
  <c r="U97" i="1"/>
  <c r="D106" i="1"/>
  <c r="D107" i="1" s="1"/>
  <c r="E106" i="1"/>
  <c r="E107" i="1" s="1"/>
  <c r="F106" i="1"/>
  <c r="F107" i="1" s="1"/>
  <c r="G106" i="1"/>
  <c r="G107" i="1" s="1"/>
  <c r="H106" i="1"/>
  <c r="H108" i="1" s="1"/>
  <c r="I106" i="1"/>
  <c r="I108" i="1" s="1"/>
  <c r="J106" i="1"/>
  <c r="K106" i="1"/>
  <c r="L106" i="1"/>
  <c r="L109" i="1" s="1"/>
  <c r="M106" i="1"/>
  <c r="M107" i="1" s="1"/>
  <c r="N106" i="1"/>
  <c r="N109" i="1" s="1"/>
  <c r="O106" i="1"/>
  <c r="O109" i="1" s="1"/>
  <c r="P106" i="1"/>
  <c r="P107" i="1" s="1"/>
  <c r="Q106" i="1"/>
  <c r="Q109" i="1" s="1"/>
  <c r="R106" i="1"/>
  <c r="R107" i="1" s="1"/>
  <c r="S106" i="1"/>
  <c r="S109" i="1" s="1"/>
  <c r="T106" i="1"/>
  <c r="T107" i="1" s="1"/>
  <c r="U106" i="1"/>
  <c r="U107" i="1" s="1"/>
  <c r="V106" i="1"/>
  <c r="V107" i="1" s="1"/>
  <c r="W106" i="1"/>
  <c r="W107" i="1" s="1"/>
  <c r="X106" i="1"/>
  <c r="X108" i="1" s="1"/>
  <c r="Y106" i="1"/>
  <c r="Y108" i="1" s="1"/>
  <c r="Z106" i="1"/>
  <c r="AA106" i="1"/>
  <c r="AB106" i="1"/>
  <c r="AB109" i="1" s="1"/>
  <c r="AC106" i="1"/>
  <c r="AC107" i="1" s="1"/>
  <c r="AD106" i="1"/>
  <c r="AD109" i="1" s="1"/>
  <c r="AE106" i="1"/>
  <c r="AE108" i="1" s="1"/>
  <c r="AF106" i="1"/>
  <c r="AF107" i="1" s="1"/>
  <c r="AG106" i="1"/>
  <c r="AG107" i="1" s="1"/>
  <c r="AH106" i="1"/>
  <c r="AH107" i="1" s="1"/>
  <c r="AI106" i="1"/>
  <c r="AI107" i="1" s="1"/>
  <c r="AJ106" i="1"/>
  <c r="AJ107" i="1" s="1"/>
  <c r="AK106" i="1"/>
  <c r="AK107" i="1" s="1"/>
  <c r="AL106" i="1"/>
  <c r="AL107" i="1" s="1"/>
  <c r="AM106" i="1"/>
  <c r="AM107" i="1" s="1"/>
  <c r="AN106" i="1"/>
  <c r="AN108" i="1" s="1"/>
  <c r="AO106" i="1"/>
  <c r="AO108" i="1" s="1"/>
  <c r="AP106" i="1"/>
  <c r="AQ106" i="1"/>
  <c r="AR106" i="1"/>
  <c r="AR108" i="1" s="1"/>
  <c r="AS106" i="1"/>
  <c r="AS109" i="1" s="1"/>
  <c r="AT106" i="1"/>
  <c r="AT109" i="1" s="1"/>
  <c r="AU106" i="1"/>
  <c r="AU108" i="1" s="1"/>
  <c r="AV106" i="1"/>
  <c r="AV108" i="1" s="1"/>
  <c r="AW106" i="1"/>
  <c r="AW108" i="1" s="1"/>
  <c r="AX106" i="1"/>
  <c r="AX107" i="1" s="1"/>
  <c r="AY106" i="1"/>
  <c r="AY108" i="1" s="1"/>
  <c r="AZ106" i="1"/>
  <c r="AZ107" i="1" s="1"/>
  <c r="BA106" i="1"/>
  <c r="BA107" i="1" s="1"/>
  <c r="BB106" i="1"/>
  <c r="BB107" i="1" s="1"/>
  <c r="BC106" i="1"/>
  <c r="BC107" i="1" s="1"/>
  <c r="BD106" i="1"/>
  <c r="BD108" i="1" s="1"/>
  <c r="BE106" i="1"/>
  <c r="BE108" i="1" s="1"/>
  <c r="BF106" i="1"/>
  <c r="BG106" i="1"/>
  <c r="BH106" i="1"/>
  <c r="BH109" i="1" s="1"/>
  <c r="BI106" i="1"/>
  <c r="BI107" i="1" s="1"/>
  <c r="BJ106" i="1"/>
  <c r="BJ109" i="1" s="1"/>
  <c r="BK106" i="1"/>
  <c r="BK107" i="1" s="1"/>
  <c r="BL106" i="1"/>
  <c r="BL109" i="1" s="1"/>
  <c r="BM106" i="1"/>
  <c r="BM108" i="1" s="1"/>
  <c r="BN106" i="1"/>
  <c r="BN107" i="1" s="1"/>
  <c r="BO106" i="1"/>
  <c r="BO107" i="1" s="1"/>
  <c r="BP106" i="1"/>
  <c r="BP107" i="1" s="1"/>
  <c r="BQ106" i="1"/>
  <c r="BQ107" i="1" s="1"/>
  <c r="BR106" i="1"/>
  <c r="BR107" i="1" s="1"/>
  <c r="BS106" i="1"/>
  <c r="BS107" i="1" s="1"/>
  <c r="BT106" i="1"/>
  <c r="BT108" i="1" s="1"/>
  <c r="BU106" i="1"/>
  <c r="BU108" i="1" s="1"/>
  <c r="BV106" i="1"/>
  <c r="BW106" i="1"/>
  <c r="BX106" i="1"/>
  <c r="BX107" i="1" s="1"/>
  <c r="BY106" i="1"/>
  <c r="BY107" i="1" s="1"/>
  <c r="AQ99" i="1" l="1"/>
  <c r="W38" i="1"/>
  <c r="BG98" i="1"/>
  <c r="L87" i="1"/>
  <c r="D38" i="1"/>
  <c r="AE107" i="1"/>
  <c r="T36" i="1"/>
  <c r="AB107" i="1"/>
  <c r="J87" i="1"/>
  <c r="K99" i="1"/>
  <c r="AD89" i="1"/>
  <c r="X38" i="1"/>
  <c r="N87" i="1"/>
  <c r="M87" i="1"/>
  <c r="G38" i="1"/>
  <c r="AO87" i="1"/>
  <c r="V38" i="1"/>
  <c r="AK79" i="1"/>
  <c r="W37" i="1"/>
  <c r="V37" i="1"/>
  <c r="AK97" i="1"/>
  <c r="AA97" i="1"/>
  <c r="H78" i="1"/>
  <c r="AL108" i="1"/>
  <c r="AK108" i="1"/>
  <c r="AS97" i="1"/>
  <c r="G37" i="1"/>
  <c r="F37" i="1"/>
  <c r="D37" i="1"/>
  <c r="AT87" i="1"/>
  <c r="E87" i="1"/>
  <c r="M79" i="1"/>
  <c r="AU89" i="1"/>
  <c r="T37" i="1"/>
  <c r="Y89" i="1"/>
  <c r="E36" i="1"/>
  <c r="K87" i="1"/>
  <c r="F87" i="1"/>
  <c r="AX79" i="1"/>
  <c r="AL89" i="1"/>
  <c r="AC78" i="1"/>
  <c r="U88" i="1"/>
  <c r="X109" i="1"/>
  <c r="V99" i="1"/>
  <c r="T99" i="1"/>
  <c r="Y99" i="1"/>
  <c r="X99" i="1"/>
  <c r="Q108" i="1"/>
  <c r="W99" i="1"/>
  <c r="X97" i="1"/>
  <c r="AI87" i="1"/>
  <c r="S87" i="1"/>
  <c r="U99" i="1"/>
  <c r="Q87" i="1"/>
  <c r="P87" i="1"/>
  <c r="AE77" i="1"/>
  <c r="AT89" i="1"/>
  <c r="O87" i="1"/>
  <c r="O77" i="1"/>
  <c r="H99" i="1"/>
  <c r="D88" i="1"/>
  <c r="G99" i="1"/>
  <c r="AI89" i="1"/>
  <c r="BA98" i="1"/>
  <c r="D87" i="1"/>
  <c r="S89" i="1"/>
  <c r="AU109" i="1"/>
  <c r="AR88" i="1"/>
  <c r="I87" i="1"/>
  <c r="W98" i="1"/>
  <c r="AI109" i="1"/>
  <c r="BA97" i="1"/>
  <c r="W48" i="1"/>
  <c r="AH109" i="1"/>
  <c r="AT97" i="1"/>
  <c r="I88" i="1"/>
  <c r="O107" i="1"/>
  <c r="AF109" i="1"/>
  <c r="AE109" i="1"/>
  <c r="AD97" i="1"/>
  <c r="W89" i="1"/>
  <c r="AM87" i="1"/>
  <c r="AB97" i="1"/>
  <c r="V89" i="1"/>
  <c r="BD79" i="1"/>
  <c r="P109" i="1"/>
  <c r="U38" i="1"/>
  <c r="G87" i="1"/>
  <c r="BX108" i="1"/>
  <c r="J89" i="1"/>
  <c r="G89" i="1"/>
  <c r="AD79" i="1"/>
  <c r="E89" i="1"/>
  <c r="AD48" i="1"/>
  <c r="M97" i="1"/>
  <c r="AH108" i="1"/>
  <c r="BD98" i="1"/>
  <c r="K97" i="1"/>
  <c r="AO78" i="1"/>
  <c r="AC108" i="1"/>
  <c r="H97" i="1"/>
  <c r="N48" i="1"/>
  <c r="AB77" i="1"/>
  <c r="AB108" i="1"/>
  <c r="AJ88" i="1"/>
  <c r="N78" i="1"/>
  <c r="U46" i="1"/>
  <c r="AR99" i="1"/>
  <c r="AW89" i="1"/>
  <c r="I78" i="1"/>
  <c r="E46" i="1"/>
  <c r="H87" i="1"/>
  <c r="O108" i="1"/>
  <c r="BD109" i="1"/>
  <c r="M108" i="1"/>
  <c r="AA99" i="1"/>
  <c r="E98" i="1"/>
  <c r="AR77" i="1"/>
  <c r="Y48" i="1"/>
  <c r="I109" i="1"/>
  <c r="AQ89" i="1"/>
  <c r="BY108" i="1"/>
  <c r="L108" i="1"/>
  <c r="AO89" i="1"/>
  <c r="AG46" i="1"/>
  <c r="AW107" i="1"/>
  <c r="BC98" i="1"/>
  <c r="AM89" i="1"/>
  <c r="AQ88" i="1"/>
  <c r="AD87" i="1"/>
  <c r="AF46" i="1"/>
  <c r="F38" i="1"/>
  <c r="BY109" i="1"/>
  <c r="BL108" i="1"/>
  <c r="AV107" i="1"/>
  <c r="AW99" i="1"/>
  <c r="AN88" i="1"/>
  <c r="AA87" i="1"/>
  <c r="AD46" i="1"/>
  <c r="E38" i="1"/>
  <c r="BX109" i="1"/>
  <c r="BK108" i="1"/>
  <c r="AU107" i="1"/>
  <c r="AM98" i="1"/>
  <c r="AJ89" i="1"/>
  <c r="AL88" i="1"/>
  <c r="W87" i="1"/>
  <c r="BT109" i="1"/>
  <c r="R97" i="1"/>
  <c r="AZ79" i="1"/>
  <c r="P77" i="1"/>
  <c r="T46" i="1"/>
  <c r="AY79" i="1"/>
  <c r="S46" i="1"/>
  <c r="AA88" i="1"/>
  <c r="AR109" i="1"/>
  <c r="AG108" i="1"/>
  <c r="L107" i="1"/>
  <c r="M98" i="1"/>
  <c r="I97" i="1"/>
  <c r="X89" i="1"/>
  <c r="Z88" i="1"/>
  <c r="AV79" i="1"/>
  <c r="AF108" i="1"/>
  <c r="BJ97" i="1"/>
  <c r="G97" i="1"/>
  <c r="AG109" i="1"/>
  <c r="AD108" i="1"/>
  <c r="BI97" i="1"/>
  <c r="F97" i="1"/>
  <c r="U89" i="1"/>
  <c r="K88" i="1"/>
  <c r="AB79" i="1"/>
  <c r="BP99" i="1"/>
  <c r="D98" i="1"/>
  <c r="AW87" i="1"/>
  <c r="AZ99" i="1"/>
  <c r="BP97" i="1"/>
  <c r="D99" i="1"/>
  <c r="Q107" i="1"/>
  <c r="Q97" i="1"/>
  <c r="T89" i="1"/>
  <c r="AN87" i="1"/>
  <c r="AJ79" i="1"/>
  <c r="BE77" i="1"/>
  <c r="BB97" i="1"/>
  <c r="P97" i="1"/>
  <c r="AG88" i="1"/>
  <c r="AI79" i="1"/>
  <c r="AS77" i="1"/>
  <c r="X48" i="1"/>
  <c r="P46" i="1"/>
  <c r="AJ99" i="1"/>
  <c r="N97" i="1"/>
  <c r="Q89" i="1"/>
  <c r="AH79" i="1"/>
  <c r="N46" i="1"/>
  <c r="S108" i="1"/>
  <c r="AH99" i="1"/>
  <c r="AZ97" i="1"/>
  <c r="N89" i="1"/>
  <c r="R48" i="1"/>
  <c r="BU109" i="1"/>
  <c r="R108" i="1"/>
  <c r="AG99" i="1"/>
  <c r="AN98" i="1"/>
  <c r="AW97" i="1"/>
  <c r="L97" i="1"/>
  <c r="AK89" i="1"/>
  <c r="M89" i="1"/>
  <c r="AG87" i="1"/>
  <c r="AC79" i="1"/>
  <c r="P48" i="1"/>
  <c r="D46" i="1"/>
  <c r="BK109" i="1"/>
  <c r="AJ98" i="1"/>
  <c r="H89" i="1"/>
  <c r="T88" i="1"/>
  <c r="AC87" i="1"/>
  <c r="U79" i="1"/>
  <c r="AF47" i="1"/>
  <c r="AL97" i="1"/>
  <c r="S79" i="1"/>
  <c r="AE47" i="1"/>
  <c r="AZ109" i="1"/>
  <c r="AE89" i="1"/>
  <c r="X87" i="1"/>
  <c r="R79" i="1"/>
  <c r="I77" i="1"/>
  <c r="AX109" i="1"/>
  <c r="BM107" i="1"/>
  <c r="AW109" i="1"/>
  <c r="BH107" i="1"/>
  <c r="T98" i="1"/>
  <c r="AC97" i="1"/>
  <c r="V87" i="1"/>
  <c r="L79" i="1"/>
  <c r="Y38" i="1"/>
  <c r="BF98" i="1"/>
  <c r="AK88" i="1"/>
  <c r="AF87" i="1"/>
  <c r="M47" i="1"/>
  <c r="M46" i="1"/>
  <c r="BE98" i="1"/>
  <c r="V98" i="1"/>
  <c r="Z97" i="1"/>
  <c r="F89" i="1"/>
  <c r="AV87" i="1"/>
  <c r="AE87" i="1"/>
  <c r="Q77" i="1"/>
  <c r="L47" i="1"/>
  <c r="L46" i="1"/>
  <c r="Y97" i="1"/>
  <c r="AU87" i="1"/>
  <c r="AW79" i="1"/>
  <c r="P88" i="1"/>
  <c r="BI108" i="1"/>
  <c r="AS107" i="1"/>
  <c r="AO99" i="1"/>
  <c r="BB98" i="1"/>
  <c r="AF88" i="1"/>
  <c r="O88" i="1"/>
  <c r="AS87" i="1"/>
  <c r="AB87" i="1"/>
  <c r="AU79" i="1"/>
  <c r="BD77" i="1"/>
  <c r="N77" i="1"/>
  <c r="O48" i="1"/>
  <c r="AE46" i="1"/>
  <c r="BI109" i="1"/>
  <c r="AC109" i="1"/>
  <c r="BH108" i="1"/>
  <c r="P108" i="1"/>
  <c r="AR107" i="1"/>
  <c r="AN99" i="1"/>
  <c r="L99" i="1"/>
  <c r="J98" i="1"/>
  <c r="AR97" i="1"/>
  <c r="AV88" i="1"/>
  <c r="AR87" i="1"/>
  <c r="AT79" i="1"/>
  <c r="Q79" i="1"/>
  <c r="AW77" i="1"/>
  <c r="U37" i="1"/>
  <c r="BJ108" i="1"/>
  <c r="AP99" i="1"/>
  <c r="AS108" i="1"/>
  <c r="AM99" i="1"/>
  <c r="AP97" i="1"/>
  <c r="AX89" i="1"/>
  <c r="AH89" i="1"/>
  <c r="Z87" i="1"/>
  <c r="AS79" i="1"/>
  <c r="P79" i="1"/>
  <c r="AV77" i="1"/>
  <c r="H77" i="1"/>
  <c r="AC46" i="1"/>
  <c r="J97" i="1"/>
  <c r="AT107" i="1"/>
  <c r="BE109" i="1"/>
  <c r="Y109" i="1"/>
  <c r="N108" i="1"/>
  <c r="AD107" i="1"/>
  <c r="AL99" i="1"/>
  <c r="F98" i="1"/>
  <c r="AO97" i="1"/>
  <c r="AC88" i="1"/>
  <c r="L88" i="1"/>
  <c r="AP87" i="1"/>
  <c r="Y87" i="1"/>
  <c r="AR79" i="1"/>
  <c r="O79" i="1"/>
  <c r="AU77" i="1"/>
  <c r="AB46" i="1"/>
  <c r="I99" i="1"/>
  <c r="AS88" i="1"/>
  <c r="AB88" i="1"/>
  <c r="AT77" i="1"/>
  <c r="AC47" i="1"/>
  <c r="M109" i="1"/>
  <c r="BL107" i="1"/>
  <c r="BF99" i="1"/>
  <c r="AF99" i="1"/>
  <c r="AP88" i="1"/>
  <c r="AG77" i="1"/>
  <c r="AB47" i="1"/>
  <c r="R46" i="1"/>
  <c r="X36" i="1"/>
  <c r="AJ108" i="1"/>
  <c r="AV109" i="1"/>
  <c r="BC99" i="1"/>
  <c r="AB99" i="1"/>
  <c r="E99" i="1"/>
  <c r="AK98" i="1"/>
  <c r="AF97" i="1"/>
  <c r="BE79" i="1"/>
  <c r="AG79" i="1"/>
  <c r="AF77" i="1"/>
  <c r="Q47" i="1"/>
  <c r="Q46" i="1"/>
  <c r="BJ107" i="1"/>
  <c r="N107" i="1"/>
  <c r="AF79" i="1"/>
  <c r="H109" i="1"/>
  <c r="Z99" i="1"/>
  <c r="BA79" i="1"/>
  <c r="AE79" i="1"/>
  <c r="AD78" i="1"/>
  <c r="O47" i="1"/>
  <c r="H38" i="1"/>
  <c r="AY87" i="1"/>
  <c r="AY99" i="1"/>
  <c r="AY97" i="1"/>
  <c r="AH97" i="1"/>
  <c r="AQ78" i="1"/>
  <c r="BC109" i="1"/>
  <c r="S107" i="1"/>
  <c r="AX99" i="1"/>
  <c r="BO97" i="1"/>
  <c r="AX97" i="1"/>
  <c r="AG97" i="1"/>
  <c r="AP78" i="1"/>
  <c r="V48" i="1"/>
  <c r="S98" i="1"/>
  <c r="AY109" i="1"/>
  <c r="D109" i="1"/>
  <c r="BB108" i="1"/>
  <c r="AY107" i="1"/>
  <c r="BO99" i="1"/>
  <c r="AV99" i="1"/>
  <c r="R98" i="1"/>
  <c r="BM97" i="1"/>
  <c r="AV97" i="1"/>
  <c r="AN78" i="1"/>
  <c r="Z77" i="1"/>
  <c r="S97" i="1"/>
  <c r="AY89" i="1"/>
  <c r="AI108" i="1"/>
  <c r="AA77" i="1"/>
  <c r="BA108" i="1"/>
  <c r="BN99" i="1"/>
  <c r="AI98" i="1"/>
  <c r="Q98" i="1"/>
  <c r="BL97" i="1"/>
  <c r="Y77" i="1"/>
  <c r="BN97" i="1"/>
  <c r="AZ108" i="1"/>
  <c r="BM99" i="1"/>
  <c r="P98" i="1"/>
  <c r="X77" i="1"/>
  <c r="AX87" i="1"/>
  <c r="BS109" i="1"/>
  <c r="BS108" i="1"/>
  <c r="G108" i="1"/>
  <c r="BL99" i="1"/>
  <c r="K79" i="1"/>
  <c r="AA78" i="1"/>
  <c r="AN48" i="1"/>
  <c r="V46" i="1"/>
  <c r="BP109" i="1"/>
  <c r="W109" i="1"/>
  <c r="BR108" i="1"/>
  <c r="AX108" i="1"/>
  <c r="F108" i="1"/>
  <c r="BH99" i="1"/>
  <c r="BH97" i="1"/>
  <c r="AQ97" i="1"/>
  <c r="J79" i="1"/>
  <c r="Z78" i="1"/>
  <c r="AM48" i="1"/>
  <c r="I48" i="1"/>
  <c r="AL46" i="1"/>
  <c r="R89" i="1"/>
  <c r="BC108" i="1"/>
  <c r="BO109" i="1"/>
  <c r="T109" i="1"/>
  <c r="BQ108" i="1"/>
  <c r="E108" i="1"/>
  <c r="BG99" i="1"/>
  <c r="AC98" i="1"/>
  <c r="Y78" i="1"/>
  <c r="AQ77" i="1"/>
  <c r="AL48" i="1"/>
  <c r="H48" i="1"/>
  <c r="AK46" i="1"/>
  <c r="R88" i="1"/>
  <c r="BN109" i="1"/>
  <c r="BP108" i="1"/>
  <c r="D108" i="1"/>
  <c r="X78" i="1"/>
  <c r="AP77" i="1"/>
  <c r="AH48" i="1"/>
  <c r="G48" i="1"/>
  <c r="AJ46" i="1"/>
  <c r="G109" i="1"/>
  <c r="BM109" i="1"/>
  <c r="AO109" i="1"/>
  <c r="R109" i="1"/>
  <c r="BO108" i="1"/>
  <c r="W108" i="1"/>
  <c r="BE99" i="1"/>
  <c r="AS98" i="1"/>
  <c r="E79" i="1"/>
  <c r="AO77" i="1"/>
  <c r="M77" i="1"/>
  <c r="F48" i="1"/>
  <c r="AI46" i="1"/>
  <c r="AN109" i="1"/>
  <c r="BN108" i="1"/>
  <c r="AT108" i="1"/>
  <c r="V108" i="1"/>
  <c r="BD99" i="1"/>
  <c r="D79" i="1"/>
  <c r="AN77" i="1"/>
  <c r="L77" i="1"/>
  <c r="AG47" i="1"/>
  <c r="AH46" i="1"/>
  <c r="I38" i="1"/>
  <c r="AI97" i="1"/>
  <c r="AH88" i="1"/>
  <c r="AM109" i="1"/>
  <c r="U108" i="1"/>
  <c r="BI98" i="1"/>
  <c r="K78" i="1"/>
  <c r="AM108" i="1"/>
  <c r="AJ109" i="1"/>
  <c r="T108" i="1"/>
  <c r="T79" i="1"/>
  <c r="J78" i="1"/>
  <c r="F46" i="1"/>
  <c r="S38" i="1"/>
  <c r="S37" i="1"/>
  <c r="S36" i="1"/>
  <c r="BK97" i="1"/>
  <c r="BK98" i="1"/>
  <c r="BK99" i="1"/>
  <c r="AU97" i="1"/>
  <c r="AU98" i="1"/>
  <c r="AU99" i="1"/>
  <c r="AE97" i="1"/>
  <c r="AE98" i="1"/>
  <c r="AE99" i="1"/>
  <c r="O97" i="1"/>
  <c r="O98" i="1"/>
  <c r="O99" i="1"/>
  <c r="BC79" i="1"/>
  <c r="BC77" i="1"/>
  <c r="BC78" i="1"/>
  <c r="AM79" i="1"/>
  <c r="AM77" i="1"/>
  <c r="AM78" i="1"/>
  <c r="W79" i="1"/>
  <c r="W77" i="1"/>
  <c r="W78" i="1"/>
  <c r="G79" i="1"/>
  <c r="G77" i="1"/>
  <c r="G78" i="1"/>
  <c r="BW108" i="1"/>
  <c r="BW107" i="1"/>
  <c r="BW109" i="1"/>
  <c r="BG108" i="1"/>
  <c r="BG107" i="1"/>
  <c r="BG109" i="1"/>
  <c r="AQ108" i="1"/>
  <c r="AQ107" i="1"/>
  <c r="AQ109" i="1"/>
  <c r="AA108" i="1"/>
  <c r="AA107" i="1"/>
  <c r="AA109" i="1"/>
  <c r="K108" i="1"/>
  <c r="K107" i="1"/>
  <c r="K109" i="1"/>
  <c r="BV108" i="1"/>
  <c r="BV107" i="1"/>
  <c r="BV109" i="1"/>
  <c r="BF108" i="1"/>
  <c r="BF107" i="1"/>
  <c r="BF109" i="1"/>
  <c r="AP108" i="1"/>
  <c r="AP107" i="1"/>
  <c r="AP109" i="1"/>
  <c r="Z108" i="1"/>
  <c r="Z107" i="1"/>
  <c r="Z109" i="1"/>
  <c r="J108" i="1"/>
  <c r="J107" i="1"/>
  <c r="J109" i="1"/>
  <c r="AA46" i="1"/>
  <c r="AA47" i="1"/>
  <c r="AA48" i="1"/>
  <c r="K46" i="1"/>
  <c r="K47" i="1"/>
  <c r="K48" i="1"/>
  <c r="Z48" i="1"/>
  <c r="J48" i="1"/>
  <c r="R36" i="1"/>
  <c r="AG36" i="1"/>
  <c r="Q36" i="1"/>
  <c r="BB78" i="1"/>
  <c r="AL78" i="1"/>
  <c r="V78" i="1"/>
  <c r="F78" i="1"/>
  <c r="R37" i="1"/>
  <c r="AF36" i="1"/>
  <c r="P36" i="1"/>
  <c r="BA78" i="1"/>
  <c r="AK78" i="1"/>
  <c r="U78" i="1"/>
  <c r="E78" i="1"/>
  <c r="AG37" i="1"/>
  <c r="Q37" i="1"/>
  <c r="AE36" i="1"/>
  <c r="O36" i="1"/>
  <c r="BR109" i="1"/>
  <c r="BB109" i="1"/>
  <c r="AL109" i="1"/>
  <c r="V109" i="1"/>
  <c r="F109" i="1"/>
  <c r="AZ78" i="1"/>
  <c r="AJ78" i="1"/>
  <c r="T78" i="1"/>
  <c r="D78" i="1"/>
  <c r="AK48" i="1"/>
  <c r="U48" i="1"/>
  <c r="E48" i="1"/>
  <c r="Z47" i="1"/>
  <c r="J47" i="1"/>
  <c r="AF37" i="1"/>
  <c r="P37" i="1"/>
  <c r="AD36" i="1"/>
  <c r="N36" i="1"/>
  <c r="BQ109" i="1"/>
  <c r="BA109" i="1"/>
  <c r="AK109" i="1"/>
  <c r="U109" i="1"/>
  <c r="E109" i="1"/>
  <c r="BU107" i="1"/>
  <c r="BE107" i="1"/>
  <c r="AO107" i="1"/>
  <c r="Y107" i="1"/>
  <c r="I107" i="1"/>
  <c r="AY78" i="1"/>
  <c r="AI78" i="1"/>
  <c r="S78" i="1"/>
  <c r="AJ48" i="1"/>
  <c r="T48" i="1"/>
  <c r="D48" i="1"/>
  <c r="Y47" i="1"/>
  <c r="I47" i="1"/>
  <c r="AE37" i="1"/>
  <c r="O37" i="1"/>
  <c r="AC36" i="1"/>
  <c r="M36" i="1"/>
  <c r="BT107" i="1"/>
  <c r="BD107" i="1"/>
  <c r="AN107" i="1"/>
  <c r="X107" i="1"/>
  <c r="H107" i="1"/>
  <c r="AX78" i="1"/>
  <c r="AH78" i="1"/>
  <c r="R78" i="1"/>
  <c r="AI48" i="1"/>
  <c r="S48" i="1"/>
  <c r="AN47" i="1"/>
  <c r="X47" i="1"/>
  <c r="H47" i="1"/>
  <c r="AD37" i="1"/>
  <c r="N37" i="1"/>
  <c r="AB36" i="1"/>
  <c r="L36" i="1"/>
  <c r="AM47" i="1"/>
  <c r="W47" i="1"/>
  <c r="G47" i="1"/>
  <c r="AC37" i="1"/>
  <c r="M37" i="1"/>
  <c r="AA36" i="1"/>
  <c r="K36" i="1"/>
  <c r="BB77" i="1"/>
  <c r="AL77" i="1"/>
  <c r="V77" i="1"/>
  <c r="F77" i="1"/>
  <c r="AB37" i="1"/>
  <c r="L37" i="1"/>
  <c r="Z36" i="1"/>
  <c r="J36" i="1"/>
  <c r="AA37" i="1"/>
  <c r="K37" i="1"/>
  <c r="Y36" i="1"/>
  <c r="I36" i="1"/>
  <c r="Z37" i="1"/>
  <c r="J37" i="1"/>
  <c r="H36" i="1"/>
  <c r="BJ99" i="1"/>
  <c r="AT99" i="1"/>
  <c r="AD99" i="1"/>
  <c r="N99" i="1"/>
  <c r="P149" i="4" l="1"/>
  <c r="P151" i="4" s="1"/>
  <c r="O149" i="4"/>
  <c r="O152" i="4" s="1"/>
  <c r="N149" i="4"/>
  <c r="N152" i="4" s="1"/>
  <c r="M149" i="4"/>
  <c r="M150" i="4" s="1"/>
  <c r="L149" i="4"/>
  <c r="L150" i="4" s="1"/>
  <c r="K149" i="4"/>
  <c r="K150" i="4" s="1"/>
  <c r="J149" i="4"/>
  <c r="J150" i="4" s="1"/>
  <c r="I149" i="4"/>
  <c r="I150" i="4" s="1"/>
  <c r="H149" i="4"/>
  <c r="H150" i="4" s="1"/>
  <c r="G149" i="4"/>
  <c r="G150" i="4" s="1"/>
  <c r="F149" i="4"/>
  <c r="F150" i="4" s="1"/>
  <c r="E149" i="4"/>
  <c r="E150" i="4" s="1"/>
  <c r="D149" i="4"/>
  <c r="D151" i="4" s="1"/>
  <c r="P139" i="4"/>
  <c r="P140" i="4" s="1"/>
  <c r="O139" i="4"/>
  <c r="O140" i="4" s="1"/>
  <c r="N139" i="4"/>
  <c r="N140" i="4" s="1"/>
  <c r="M139" i="4"/>
  <c r="M140" i="4" s="1"/>
  <c r="L139" i="4"/>
  <c r="L140" i="4" s="1"/>
  <c r="K139" i="4"/>
  <c r="K140" i="4" s="1"/>
  <c r="J139" i="4"/>
  <c r="J140" i="4" s="1"/>
  <c r="I139" i="4"/>
  <c r="I140" i="4" s="1"/>
  <c r="H139" i="4"/>
  <c r="H140" i="4" s="1"/>
  <c r="G139" i="4"/>
  <c r="G140" i="4" s="1"/>
  <c r="F139" i="4"/>
  <c r="F140" i="4" s="1"/>
  <c r="E139" i="4"/>
  <c r="E140" i="4" s="1"/>
  <c r="D139" i="4"/>
  <c r="D142" i="4" s="1"/>
  <c r="P129" i="4"/>
  <c r="P130" i="4" s="1"/>
  <c r="O129" i="4"/>
  <c r="O130" i="4" s="1"/>
  <c r="N129" i="4"/>
  <c r="N130" i="4" s="1"/>
  <c r="M129" i="4"/>
  <c r="M130" i="4" s="1"/>
  <c r="L129" i="4"/>
  <c r="L130" i="4" s="1"/>
  <c r="K129" i="4"/>
  <c r="K130" i="4" s="1"/>
  <c r="J129" i="4"/>
  <c r="J130" i="4" s="1"/>
  <c r="I129" i="4"/>
  <c r="I130" i="4" s="1"/>
  <c r="H129" i="4"/>
  <c r="H130" i="4" s="1"/>
  <c r="G129" i="4"/>
  <c r="G131" i="4" s="1"/>
  <c r="F129" i="4"/>
  <c r="F131" i="4" s="1"/>
  <c r="E129" i="4"/>
  <c r="E132" i="4" s="1"/>
  <c r="D129" i="4"/>
  <c r="D130" i="4" s="1"/>
  <c r="P119" i="4"/>
  <c r="P120" i="4" s="1"/>
  <c r="O119" i="4"/>
  <c r="O120" i="4" s="1"/>
  <c r="N119" i="4"/>
  <c r="N120" i="4" s="1"/>
  <c r="M119" i="4"/>
  <c r="M120" i="4" s="1"/>
  <c r="L119" i="4"/>
  <c r="L120" i="4" s="1"/>
  <c r="K119" i="4"/>
  <c r="K120" i="4" s="1"/>
  <c r="J119" i="4"/>
  <c r="J121" i="4" s="1"/>
  <c r="I119" i="4"/>
  <c r="I121" i="4" s="1"/>
  <c r="H119" i="4"/>
  <c r="H122" i="4" s="1"/>
  <c r="G119" i="4"/>
  <c r="G122" i="4" s="1"/>
  <c r="F119" i="4"/>
  <c r="F120" i="4" s="1"/>
  <c r="E119" i="4"/>
  <c r="E120" i="4" s="1"/>
  <c r="D119" i="4"/>
  <c r="D120" i="4" s="1"/>
  <c r="P109" i="4"/>
  <c r="P110" i="4" s="1"/>
  <c r="O109" i="4"/>
  <c r="O110" i="4" s="1"/>
  <c r="N109" i="4"/>
  <c r="N110" i="4" s="1"/>
  <c r="M109" i="4"/>
  <c r="M111" i="4" s="1"/>
  <c r="L109" i="4"/>
  <c r="L111" i="4" s="1"/>
  <c r="K109" i="4"/>
  <c r="K112" i="4" s="1"/>
  <c r="J109" i="4"/>
  <c r="J112" i="4" s="1"/>
  <c r="I109" i="4"/>
  <c r="I110" i="4" s="1"/>
  <c r="H109" i="4"/>
  <c r="H110" i="4" s="1"/>
  <c r="G109" i="4"/>
  <c r="G110" i="4" s="1"/>
  <c r="F109" i="4"/>
  <c r="F110" i="4" s="1"/>
  <c r="E109" i="4"/>
  <c r="E110" i="4" s="1"/>
  <c r="D109" i="4"/>
  <c r="D110" i="4" s="1"/>
  <c r="P99" i="4"/>
  <c r="P101" i="4" s="1"/>
  <c r="O99" i="4"/>
  <c r="O101" i="4" s="1"/>
  <c r="N99" i="4"/>
  <c r="N102" i="4" s="1"/>
  <c r="M99" i="4"/>
  <c r="M102" i="4" s="1"/>
  <c r="L99" i="4"/>
  <c r="L100" i="4" s="1"/>
  <c r="K99" i="4"/>
  <c r="K100" i="4" s="1"/>
  <c r="J99" i="4"/>
  <c r="J100" i="4" s="1"/>
  <c r="I99" i="4"/>
  <c r="I100" i="4" s="1"/>
  <c r="H99" i="4"/>
  <c r="H100" i="4" s="1"/>
  <c r="G99" i="4"/>
  <c r="G100" i="4" s="1"/>
  <c r="F99" i="4"/>
  <c r="F100" i="4" s="1"/>
  <c r="E99" i="4"/>
  <c r="E100" i="4" s="1"/>
  <c r="D99" i="4"/>
  <c r="D100" i="4" s="1"/>
  <c r="Q86" i="4"/>
  <c r="Q88" i="4" s="1"/>
  <c r="P86" i="4"/>
  <c r="P88" i="4" s="1"/>
  <c r="O86" i="4"/>
  <c r="O89" i="4" s="1"/>
  <c r="N86" i="4"/>
  <c r="N89" i="4" s="1"/>
  <c r="M86" i="4"/>
  <c r="M89" i="4" s="1"/>
  <c r="L86" i="4"/>
  <c r="L89" i="4" s="1"/>
  <c r="K86" i="4"/>
  <c r="K89" i="4" s="1"/>
  <c r="J86" i="4"/>
  <c r="J89" i="4" s="1"/>
  <c r="I86" i="4"/>
  <c r="I87" i="4" s="1"/>
  <c r="H86" i="4"/>
  <c r="H88" i="4" s="1"/>
  <c r="G86" i="4"/>
  <c r="G89" i="4" s="1"/>
  <c r="F86" i="4"/>
  <c r="F89" i="4" s="1"/>
  <c r="E86" i="4"/>
  <c r="E89" i="4" s="1"/>
  <c r="D86" i="4"/>
  <c r="D89" i="4" s="1"/>
  <c r="Q76" i="4"/>
  <c r="Q79" i="4" s="1"/>
  <c r="P76" i="4"/>
  <c r="P78" i="4" s="1"/>
  <c r="O76" i="4"/>
  <c r="O79" i="4" s="1"/>
  <c r="N76" i="4"/>
  <c r="N77" i="4" s="1"/>
  <c r="M76" i="4"/>
  <c r="M77" i="4" s="1"/>
  <c r="L76" i="4"/>
  <c r="L79" i="4" s="1"/>
  <c r="K76" i="4"/>
  <c r="K79" i="4" s="1"/>
  <c r="J76" i="4"/>
  <c r="J79" i="4" s="1"/>
  <c r="I76" i="4"/>
  <c r="I79" i="4" s="1"/>
  <c r="H76" i="4"/>
  <c r="H78" i="4" s="1"/>
  <c r="G76" i="4"/>
  <c r="G79" i="4" s="1"/>
  <c r="F76" i="4"/>
  <c r="F77" i="4" s="1"/>
  <c r="E76" i="4"/>
  <c r="E77" i="4" s="1"/>
  <c r="D76" i="4"/>
  <c r="D79" i="4" s="1"/>
  <c r="Q66" i="4"/>
  <c r="Q68" i="4" s="1"/>
  <c r="P66" i="4"/>
  <c r="P69" i="4" s="1"/>
  <c r="O66" i="4"/>
  <c r="O69" i="4" s="1"/>
  <c r="N66" i="4"/>
  <c r="N69" i="4" s="1"/>
  <c r="M66" i="4"/>
  <c r="M69" i="4" s="1"/>
  <c r="L66" i="4"/>
  <c r="L68" i="4" s="1"/>
  <c r="K66" i="4"/>
  <c r="K69" i="4" s="1"/>
  <c r="J66" i="4"/>
  <c r="J68" i="4" s="1"/>
  <c r="I66" i="4"/>
  <c r="I68" i="4" s="1"/>
  <c r="H66" i="4"/>
  <c r="H69" i="4" s="1"/>
  <c r="G66" i="4"/>
  <c r="G69" i="4" s="1"/>
  <c r="F66" i="4"/>
  <c r="F69" i="4" s="1"/>
  <c r="E66" i="4"/>
  <c r="E69" i="4" s="1"/>
  <c r="D66" i="4"/>
  <c r="D68" i="4" s="1"/>
  <c r="Q56" i="4"/>
  <c r="Q59" i="4" s="1"/>
  <c r="P56" i="4"/>
  <c r="P58" i="4" s="1"/>
  <c r="O56" i="4"/>
  <c r="O59" i="4" s="1"/>
  <c r="N56" i="4"/>
  <c r="N58" i="4" s="1"/>
  <c r="M56" i="4"/>
  <c r="M58" i="4" s="1"/>
  <c r="L56" i="4"/>
  <c r="L59" i="4" s="1"/>
  <c r="K56" i="4"/>
  <c r="K58" i="4" s="1"/>
  <c r="J56" i="4"/>
  <c r="J59" i="4" s="1"/>
  <c r="I56" i="4"/>
  <c r="I59" i="4" s="1"/>
  <c r="H56" i="4"/>
  <c r="H58" i="4" s="1"/>
  <c r="G56" i="4"/>
  <c r="G59" i="4" s="1"/>
  <c r="F56" i="4"/>
  <c r="F58" i="4" s="1"/>
  <c r="E56" i="4"/>
  <c r="E58" i="4" s="1"/>
  <c r="D56" i="4"/>
  <c r="D59" i="4" s="1"/>
  <c r="R46" i="4"/>
  <c r="R48" i="4" s="1"/>
  <c r="Q46" i="4"/>
  <c r="Q49" i="4" s="1"/>
  <c r="P46" i="4"/>
  <c r="P49" i="4" s="1"/>
  <c r="O46" i="4"/>
  <c r="O49" i="4" s="1"/>
  <c r="N46" i="4"/>
  <c r="N49" i="4" s="1"/>
  <c r="M46" i="4"/>
  <c r="M49" i="4" s="1"/>
  <c r="L46" i="4"/>
  <c r="L49" i="4" s="1"/>
  <c r="K46" i="4"/>
  <c r="K49" i="4" s="1"/>
  <c r="J46" i="4"/>
  <c r="J49" i="4" s="1"/>
  <c r="I46" i="4"/>
  <c r="I49" i="4" s="1"/>
  <c r="H46" i="4"/>
  <c r="H49" i="4" s="1"/>
  <c r="G46" i="4"/>
  <c r="G49" i="4" s="1"/>
  <c r="F46" i="4"/>
  <c r="F49" i="4" s="1"/>
  <c r="E46" i="4"/>
  <c r="E49" i="4" s="1"/>
  <c r="D46" i="4"/>
  <c r="D49" i="4" s="1"/>
  <c r="R36" i="4"/>
  <c r="R39" i="4" s="1"/>
  <c r="Q36" i="4"/>
  <c r="Q39" i="4" s="1"/>
  <c r="P36" i="4"/>
  <c r="P39" i="4" s="1"/>
  <c r="O36" i="4"/>
  <c r="O39" i="4" s="1"/>
  <c r="N36" i="4"/>
  <c r="N39" i="4" s="1"/>
  <c r="M36" i="4"/>
  <c r="M39" i="4" s="1"/>
  <c r="L36" i="4"/>
  <c r="L39" i="4" s="1"/>
  <c r="K36" i="4"/>
  <c r="K39" i="4" s="1"/>
  <c r="J36" i="4"/>
  <c r="J39" i="4" s="1"/>
  <c r="I36" i="4"/>
  <c r="I39" i="4" s="1"/>
  <c r="H36" i="4"/>
  <c r="H39" i="4" s="1"/>
  <c r="G36" i="4"/>
  <c r="G39" i="4" s="1"/>
  <c r="F36" i="4"/>
  <c r="F39" i="4" s="1"/>
  <c r="E36" i="4"/>
  <c r="E39" i="4" s="1"/>
  <c r="D36" i="4"/>
  <c r="D39" i="4" s="1"/>
  <c r="S26" i="4"/>
  <c r="S28" i="4" s="1"/>
  <c r="R26" i="4"/>
  <c r="R28" i="4" s="1"/>
  <c r="Q26" i="4"/>
  <c r="Q28" i="4" s="1"/>
  <c r="P26" i="4"/>
  <c r="P28" i="4" s="1"/>
  <c r="O26" i="4"/>
  <c r="O28" i="4" s="1"/>
  <c r="N26" i="4"/>
  <c r="N28" i="4" s="1"/>
  <c r="M26" i="4"/>
  <c r="M29" i="4" s="1"/>
  <c r="L26" i="4"/>
  <c r="L29" i="4" s="1"/>
  <c r="K26" i="4"/>
  <c r="K27" i="4" s="1"/>
  <c r="J26" i="4"/>
  <c r="J28" i="4" s="1"/>
  <c r="I26" i="4"/>
  <c r="I28" i="4" s="1"/>
  <c r="H26" i="4"/>
  <c r="H28" i="4" s="1"/>
  <c r="G26" i="4"/>
  <c r="G27" i="4" s="1"/>
  <c r="F26" i="4"/>
  <c r="F28" i="4" s="1"/>
  <c r="E26" i="4"/>
  <c r="E29" i="4" s="1"/>
  <c r="D26" i="4"/>
  <c r="D29" i="4" s="1"/>
  <c r="S15" i="4"/>
  <c r="S17" i="4" s="1"/>
  <c r="R15" i="4"/>
  <c r="R17" i="4" s="1"/>
  <c r="Q15" i="4"/>
  <c r="Q18" i="4" s="1"/>
  <c r="P15" i="4"/>
  <c r="P18" i="4" s="1"/>
  <c r="O15" i="4"/>
  <c r="O17" i="4" s="1"/>
  <c r="N15" i="4"/>
  <c r="N17" i="4" s="1"/>
  <c r="M15" i="4"/>
  <c r="M17" i="4" s="1"/>
  <c r="L15" i="4"/>
  <c r="L17" i="4" s="1"/>
  <c r="K15" i="4"/>
  <c r="K17" i="4" s="1"/>
  <c r="J15" i="4"/>
  <c r="J17" i="4" s="1"/>
  <c r="I15" i="4"/>
  <c r="I18" i="4" s="1"/>
  <c r="H15" i="4"/>
  <c r="H18" i="4" s="1"/>
  <c r="G15" i="4"/>
  <c r="G17" i="4" s="1"/>
  <c r="F15" i="4"/>
  <c r="F17" i="4" s="1"/>
  <c r="E15" i="4"/>
  <c r="E17" i="4" s="1"/>
  <c r="D15" i="4"/>
  <c r="D17" i="4" s="1"/>
  <c r="S4" i="4"/>
  <c r="S6" i="4" s="1"/>
  <c r="R4" i="4"/>
  <c r="R6" i="4" s="1"/>
  <c r="Q4" i="4"/>
  <c r="Q5" i="4" s="1"/>
  <c r="P4" i="4"/>
  <c r="P5" i="4" s="1"/>
  <c r="O4" i="4"/>
  <c r="O5" i="4" s="1"/>
  <c r="N4" i="4"/>
  <c r="N6" i="4" s="1"/>
  <c r="M4" i="4"/>
  <c r="M7" i="4" s="1"/>
  <c r="L4" i="4"/>
  <c r="L7" i="4" s="1"/>
  <c r="K4" i="4"/>
  <c r="K6" i="4" s="1"/>
  <c r="J4" i="4"/>
  <c r="J6" i="4" s="1"/>
  <c r="I4" i="4"/>
  <c r="I5" i="4" s="1"/>
  <c r="H4" i="4"/>
  <c r="H6" i="4" s="1"/>
  <c r="G4" i="4"/>
  <c r="G5" i="4" s="1"/>
  <c r="F4" i="4"/>
  <c r="F6" i="4" s="1"/>
  <c r="E4" i="4"/>
  <c r="E7" i="4" s="1"/>
  <c r="D4" i="4"/>
  <c r="D7" i="4" s="1"/>
  <c r="E15" i="1"/>
  <c r="E17" i="1" s="1"/>
  <c r="F15" i="1"/>
  <c r="G15" i="1"/>
  <c r="G17" i="1" s="1"/>
  <c r="H15" i="1"/>
  <c r="I15" i="1"/>
  <c r="I17" i="1" s="1"/>
  <c r="J15" i="1"/>
  <c r="J16" i="1" s="1"/>
  <c r="K15" i="1"/>
  <c r="K16" i="1" s="1"/>
  <c r="L15" i="1"/>
  <c r="L16" i="1" s="1"/>
  <c r="M15" i="1"/>
  <c r="M17" i="1" s="1"/>
  <c r="N15" i="1"/>
  <c r="N17" i="1" s="1"/>
  <c r="O15" i="1"/>
  <c r="O17" i="1" s="1"/>
  <c r="P15" i="1"/>
  <c r="P17" i="1" s="1"/>
  <c r="Q15" i="1"/>
  <c r="Q17" i="1" s="1"/>
  <c r="R15" i="1"/>
  <c r="R16" i="1" s="1"/>
  <c r="S15" i="1"/>
  <c r="S16" i="1" s="1"/>
  <c r="T15" i="1"/>
  <c r="T16" i="1" s="1"/>
  <c r="U15" i="1"/>
  <c r="U17" i="1" s="1"/>
  <c r="V15" i="1"/>
  <c r="V17" i="1" s="1"/>
  <c r="W15" i="1"/>
  <c r="W17" i="1" s="1"/>
  <c r="X15" i="1"/>
  <c r="X17" i="1" s="1"/>
  <c r="Y15" i="1"/>
  <c r="Y17" i="1" s="1"/>
  <c r="Z15" i="1"/>
  <c r="Z16" i="1" s="1"/>
  <c r="AA15" i="1"/>
  <c r="AA16" i="1" s="1"/>
  <c r="AB15" i="1"/>
  <c r="AB16" i="1" s="1"/>
  <c r="AC15" i="1"/>
  <c r="AC17" i="1" s="1"/>
  <c r="AD15" i="1"/>
  <c r="AD17" i="1" s="1"/>
  <c r="AE15" i="1"/>
  <c r="AE17" i="1" s="1"/>
  <c r="AF15" i="1"/>
  <c r="AF17" i="1" s="1"/>
  <c r="AG15" i="1"/>
  <c r="AG17" i="1" s="1"/>
  <c r="AH15" i="1"/>
  <c r="AH16" i="1" s="1"/>
  <c r="AI15" i="1"/>
  <c r="AI16" i="1" s="1"/>
  <c r="D15" i="1"/>
  <c r="E5" i="1"/>
  <c r="E7" i="1" s="1"/>
  <c r="F5" i="1"/>
  <c r="F6" i="1" s="1"/>
  <c r="G5" i="1"/>
  <c r="G7" i="1" s="1"/>
  <c r="H5" i="1"/>
  <c r="H6" i="1" s="1"/>
  <c r="I5" i="1"/>
  <c r="I6" i="1" s="1"/>
  <c r="J5" i="1"/>
  <c r="J6" i="1" s="1"/>
  <c r="K5" i="1"/>
  <c r="K7" i="1" s="1"/>
  <c r="L5" i="1"/>
  <c r="L7" i="1" s="1"/>
  <c r="M5" i="1"/>
  <c r="M6" i="1" s="1"/>
  <c r="N5" i="1"/>
  <c r="N6" i="1" s="1"/>
  <c r="O5" i="1"/>
  <c r="O7" i="1" s="1"/>
  <c r="P5" i="1"/>
  <c r="P7" i="1" s="1"/>
  <c r="Q5" i="1"/>
  <c r="Q6" i="1" s="1"/>
  <c r="R5" i="1"/>
  <c r="R6" i="1" s="1"/>
  <c r="S5" i="1"/>
  <c r="S7" i="1" s="1"/>
  <c r="T5" i="1"/>
  <c r="T7" i="1" s="1"/>
  <c r="U5" i="1"/>
  <c r="U7" i="1" s="1"/>
  <c r="V5" i="1"/>
  <c r="V6" i="1" s="1"/>
  <c r="W5" i="1"/>
  <c r="W7" i="1" s="1"/>
  <c r="X5" i="1"/>
  <c r="X7" i="1" s="1"/>
  <c r="Y5" i="1"/>
  <c r="Y6" i="1" s="1"/>
  <c r="Z5" i="1"/>
  <c r="Z6" i="1" s="1"/>
  <c r="AA5" i="1"/>
  <c r="AA7" i="1" s="1"/>
  <c r="AB5" i="1"/>
  <c r="AB7" i="1" s="1"/>
  <c r="AC5" i="1"/>
  <c r="AC7" i="1" s="1"/>
  <c r="D5" i="1"/>
  <c r="P100" i="4" l="1"/>
  <c r="M110" i="4"/>
  <c r="J120" i="4"/>
  <c r="G130" i="4"/>
  <c r="D150" i="4"/>
  <c r="N101" i="4"/>
  <c r="K111" i="4"/>
  <c r="H121" i="4"/>
  <c r="E131" i="4"/>
  <c r="O151" i="4"/>
  <c r="L102" i="4"/>
  <c r="I112" i="4"/>
  <c r="F122" i="4"/>
  <c r="P142" i="4"/>
  <c r="M152" i="4"/>
  <c r="O100" i="4"/>
  <c r="L110" i="4"/>
  <c r="I120" i="4"/>
  <c r="F130" i="4"/>
  <c r="P150" i="4"/>
  <c r="M101" i="4"/>
  <c r="J111" i="4"/>
  <c r="G121" i="4"/>
  <c r="D141" i="4"/>
  <c r="N151" i="4"/>
  <c r="K102" i="4"/>
  <c r="H112" i="4"/>
  <c r="E122" i="4"/>
  <c r="O142" i="4"/>
  <c r="L152" i="4"/>
  <c r="N100" i="4"/>
  <c r="K110" i="4"/>
  <c r="H120" i="4"/>
  <c r="E130" i="4"/>
  <c r="O150" i="4"/>
  <c r="L101" i="4"/>
  <c r="I111" i="4"/>
  <c r="F121" i="4"/>
  <c r="P141" i="4"/>
  <c r="M151" i="4"/>
  <c r="J102" i="4"/>
  <c r="G112" i="4"/>
  <c r="D132" i="4"/>
  <c r="N142" i="4"/>
  <c r="K152" i="4"/>
  <c r="M100" i="4"/>
  <c r="J110" i="4"/>
  <c r="G120" i="4"/>
  <c r="D140" i="4"/>
  <c r="N150" i="4"/>
  <c r="K101" i="4"/>
  <c r="H111" i="4"/>
  <c r="E121" i="4"/>
  <c r="O141" i="4"/>
  <c r="L151" i="4"/>
  <c r="I102" i="4"/>
  <c r="F112" i="4"/>
  <c r="P132" i="4"/>
  <c r="M142" i="4"/>
  <c r="J152" i="4"/>
  <c r="J101" i="4"/>
  <c r="G111" i="4"/>
  <c r="D131" i="4"/>
  <c r="N141" i="4"/>
  <c r="K151" i="4"/>
  <c r="H102" i="4"/>
  <c r="E112" i="4"/>
  <c r="O132" i="4"/>
  <c r="L142" i="4"/>
  <c r="I152" i="4"/>
  <c r="I101" i="4"/>
  <c r="F111" i="4"/>
  <c r="P131" i="4"/>
  <c r="M141" i="4"/>
  <c r="J151" i="4"/>
  <c r="G102" i="4"/>
  <c r="D122" i="4"/>
  <c r="N132" i="4"/>
  <c r="K142" i="4"/>
  <c r="H152" i="4"/>
  <c r="H101" i="4"/>
  <c r="E111" i="4"/>
  <c r="O131" i="4"/>
  <c r="L141" i="4"/>
  <c r="I151" i="4"/>
  <c r="F102" i="4"/>
  <c r="P122" i="4"/>
  <c r="M132" i="4"/>
  <c r="J142" i="4"/>
  <c r="G152" i="4"/>
  <c r="G101" i="4"/>
  <c r="D121" i="4"/>
  <c r="N131" i="4"/>
  <c r="K141" i="4"/>
  <c r="H151" i="4"/>
  <c r="E102" i="4"/>
  <c r="O122" i="4"/>
  <c r="L132" i="4"/>
  <c r="I142" i="4"/>
  <c r="F152" i="4"/>
  <c r="F101" i="4"/>
  <c r="P121" i="4"/>
  <c r="M131" i="4"/>
  <c r="J141" i="4"/>
  <c r="G151" i="4"/>
  <c r="D112" i="4"/>
  <c r="N122" i="4"/>
  <c r="K132" i="4"/>
  <c r="H142" i="4"/>
  <c r="E152" i="4"/>
  <c r="E101" i="4"/>
  <c r="O121" i="4"/>
  <c r="L131" i="4"/>
  <c r="I141" i="4"/>
  <c r="F151" i="4"/>
  <c r="P112" i="4"/>
  <c r="M122" i="4"/>
  <c r="J132" i="4"/>
  <c r="G142" i="4"/>
  <c r="D111" i="4"/>
  <c r="N121" i="4"/>
  <c r="K131" i="4"/>
  <c r="H141" i="4"/>
  <c r="E151" i="4"/>
  <c r="O112" i="4"/>
  <c r="L122" i="4"/>
  <c r="I132" i="4"/>
  <c r="F142" i="4"/>
  <c r="P111" i="4"/>
  <c r="M121" i="4"/>
  <c r="J131" i="4"/>
  <c r="G141" i="4"/>
  <c r="D102" i="4"/>
  <c r="N112" i="4"/>
  <c r="K122" i="4"/>
  <c r="H132" i="4"/>
  <c r="E142" i="4"/>
  <c r="O111" i="4"/>
  <c r="L121" i="4"/>
  <c r="I131" i="4"/>
  <c r="F141" i="4"/>
  <c r="P102" i="4"/>
  <c r="M112" i="4"/>
  <c r="J122" i="4"/>
  <c r="G132" i="4"/>
  <c r="D152" i="4"/>
  <c r="D101" i="4"/>
  <c r="N111" i="4"/>
  <c r="K121" i="4"/>
  <c r="H131" i="4"/>
  <c r="E141" i="4"/>
  <c r="O102" i="4"/>
  <c r="L112" i="4"/>
  <c r="I122" i="4"/>
  <c r="F132" i="4"/>
  <c r="P152" i="4"/>
  <c r="K6" i="1"/>
  <c r="S6" i="1"/>
  <c r="T6" i="1"/>
  <c r="AB6" i="1"/>
  <c r="AA6" i="1"/>
  <c r="G6" i="1"/>
  <c r="L6" i="1"/>
  <c r="O6" i="1"/>
  <c r="W6" i="1"/>
  <c r="F7" i="1"/>
  <c r="H7" i="1"/>
  <c r="AC6" i="1"/>
  <c r="N7" i="1"/>
  <c r="X6" i="1"/>
  <c r="P6" i="1"/>
  <c r="Y7" i="1"/>
  <c r="Q7" i="1"/>
  <c r="I7" i="1"/>
  <c r="U6" i="1"/>
  <c r="Z7" i="1"/>
  <c r="E6" i="1"/>
  <c r="R7" i="1"/>
  <c r="J7" i="1"/>
  <c r="V7" i="1"/>
  <c r="M7" i="1"/>
  <c r="R5" i="4"/>
  <c r="P6" i="4"/>
  <c r="O16" i="4"/>
  <c r="O27" i="4"/>
  <c r="R37" i="4"/>
  <c r="K38" i="4"/>
  <c r="I47" i="4"/>
  <c r="E48" i="4"/>
  <c r="E57" i="4"/>
  <c r="J67" i="4"/>
  <c r="H77" i="4"/>
  <c r="O87" i="4"/>
  <c r="E88" i="4"/>
  <c r="D5" i="4"/>
  <c r="Q16" i="4"/>
  <c r="Q17" i="4"/>
  <c r="S27" i="4"/>
  <c r="M38" i="4"/>
  <c r="M47" i="4"/>
  <c r="G48" i="4"/>
  <c r="G57" i="4"/>
  <c r="N67" i="4"/>
  <c r="K77" i="4"/>
  <c r="Q87" i="4"/>
  <c r="I88" i="4"/>
  <c r="F5" i="4"/>
  <c r="S16" i="4"/>
  <c r="G28" i="4"/>
  <c r="O38" i="4"/>
  <c r="Q47" i="4"/>
  <c r="I48" i="4"/>
  <c r="I57" i="4"/>
  <c r="O77" i="4"/>
  <c r="E78" i="4"/>
  <c r="J88" i="4"/>
  <c r="H5" i="4"/>
  <c r="E16" i="4"/>
  <c r="K28" i="4"/>
  <c r="Q38" i="4"/>
  <c r="R47" i="4"/>
  <c r="K48" i="4"/>
  <c r="K57" i="4"/>
  <c r="P77" i="4"/>
  <c r="I78" i="4"/>
  <c r="M88" i="4"/>
  <c r="J5" i="4"/>
  <c r="D6" i="4"/>
  <c r="G16" i="4"/>
  <c r="E37" i="4"/>
  <c r="M48" i="4"/>
  <c r="M57" i="4"/>
  <c r="I58" i="4"/>
  <c r="K78" i="4"/>
  <c r="L5" i="4"/>
  <c r="I16" i="4"/>
  <c r="I17" i="4"/>
  <c r="I37" i="4"/>
  <c r="E38" i="4"/>
  <c r="O48" i="4"/>
  <c r="O57" i="4"/>
  <c r="J58" i="4"/>
  <c r="G68" i="4"/>
  <c r="M78" i="4"/>
  <c r="G87" i="4"/>
  <c r="N5" i="4"/>
  <c r="L6" i="4"/>
  <c r="K16" i="4"/>
  <c r="M37" i="4"/>
  <c r="G38" i="4"/>
  <c r="Q48" i="4"/>
  <c r="Q57" i="4"/>
  <c r="K68" i="4"/>
  <c r="Q78" i="4"/>
  <c r="M6" i="4"/>
  <c r="M16" i="4"/>
  <c r="Q37" i="4"/>
  <c r="I38" i="4"/>
  <c r="E47" i="4"/>
  <c r="Q58" i="4"/>
  <c r="O68" i="4"/>
  <c r="G77" i="4"/>
  <c r="K87" i="4"/>
  <c r="G6" i="4"/>
  <c r="D37" i="4"/>
  <c r="D47" i="4"/>
  <c r="Q67" i="4"/>
  <c r="R16" i="4"/>
  <c r="J16" i="4"/>
  <c r="L27" i="4"/>
  <c r="D27" i="4"/>
  <c r="L28" i="4"/>
  <c r="D28" i="4"/>
  <c r="L38" i="4"/>
  <c r="D38" i="4"/>
  <c r="L48" i="4"/>
  <c r="L57" i="4"/>
  <c r="D57" i="4"/>
  <c r="P68" i="4"/>
  <c r="H68" i="4"/>
  <c r="N78" i="4"/>
  <c r="F78" i="4"/>
  <c r="L87" i="4"/>
  <c r="D87" i="4"/>
  <c r="Q6" i="4"/>
  <c r="I6" i="4"/>
  <c r="M28" i="4"/>
  <c r="L16" i="4"/>
  <c r="D16" i="4"/>
  <c r="N27" i="4"/>
  <c r="F27" i="4"/>
  <c r="O37" i="4"/>
  <c r="G37" i="4"/>
  <c r="N38" i="4"/>
  <c r="F38" i="4"/>
  <c r="O47" i="4"/>
  <c r="G47" i="4"/>
  <c r="N48" i="4"/>
  <c r="F48" i="4"/>
  <c r="N57" i="4"/>
  <c r="F57" i="4"/>
  <c r="L58" i="4"/>
  <c r="D58" i="4"/>
  <c r="L67" i="4"/>
  <c r="D67" i="4"/>
  <c r="J77" i="4"/>
  <c r="N87" i="4"/>
  <c r="F87" i="4"/>
  <c r="L88" i="4"/>
  <c r="D88" i="4"/>
  <c r="P37" i="4"/>
  <c r="H37" i="4"/>
  <c r="H47" i="4"/>
  <c r="M67" i="4"/>
  <c r="S5" i="4"/>
  <c r="K5" i="4"/>
  <c r="N16" i="4"/>
  <c r="F16" i="4"/>
  <c r="P27" i="4"/>
  <c r="H27" i="4"/>
  <c r="P38" i="4"/>
  <c r="H38" i="4"/>
  <c r="P48" i="4"/>
  <c r="H48" i="4"/>
  <c r="P57" i="4"/>
  <c r="H57" i="4"/>
  <c r="F67" i="4"/>
  <c r="L77" i="4"/>
  <c r="D77" i="4"/>
  <c r="J78" i="4"/>
  <c r="P87" i="4"/>
  <c r="H87" i="4"/>
  <c r="N88" i="4"/>
  <c r="F88" i="4"/>
  <c r="P47" i="4"/>
  <c r="E67" i="4"/>
  <c r="E6" i="4"/>
  <c r="Q27" i="4"/>
  <c r="I27" i="4"/>
  <c r="J37" i="4"/>
  <c r="J47" i="4"/>
  <c r="O58" i="4"/>
  <c r="G58" i="4"/>
  <c r="O67" i="4"/>
  <c r="G67" i="4"/>
  <c r="M68" i="4"/>
  <c r="E68" i="4"/>
  <c r="O88" i="4"/>
  <c r="G88" i="4"/>
  <c r="M5" i="4"/>
  <c r="E5" i="4"/>
  <c r="P16" i="4"/>
  <c r="H16" i="4"/>
  <c r="P17" i="4"/>
  <c r="H17" i="4"/>
  <c r="R27" i="4"/>
  <c r="J27" i="4"/>
  <c r="K37" i="4"/>
  <c r="R38" i="4"/>
  <c r="J38" i="4"/>
  <c r="K47" i="4"/>
  <c r="J48" i="4"/>
  <c r="J57" i="4"/>
  <c r="P67" i="4"/>
  <c r="H67" i="4"/>
  <c r="N68" i="4"/>
  <c r="F68" i="4"/>
  <c r="L78" i="4"/>
  <c r="D78" i="4"/>
  <c r="J87" i="4"/>
  <c r="O6" i="4"/>
  <c r="L37" i="4"/>
  <c r="L47" i="4"/>
  <c r="I67" i="4"/>
  <c r="D48" i="4"/>
  <c r="M27" i="4"/>
  <c r="E27" i="4"/>
  <c r="E28" i="4"/>
  <c r="N37" i="4"/>
  <c r="F37" i="4"/>
  <c r="N47" i="4"/>
  <c r="F47" i="4"/>
  <c r="K67" i="4"/>
  <c r="Q77" i="4"/>
  <c r="I77" i="4"/>
  <c r="O78" i="4"/>
  <c r="G78" i="4"/>
  <c r="M87" i="4"/>
  <c r="E87" i="4"/>
  <c r="K88" i="4"/>
  <c r="F59" i="4"/>
  <c r="H79" i="4"/>
  <c r="J7" i="4"/>
  <c r="N29" i="4"/>
  <c r="K7" i="4"/>
  <c r="N59" i="4"/>
  <c r="N79" i="4"/>
  <c r="K29" i="4"/>
  <c r="O18" i="4"/>
  <c r="F7" i="4"/>
  <c r="F29" i="4"/>
  <c r="L69" i="4"/>
  <c r="F79" i="4"/>
  <c r="J18" i="4"/>
  <c r="G18" i="4"/>
  <c r="P59" i="4"/>
  <c r="J69" i="4"/>
  <c r="N18" i="4"/>
  <c r="F18" i="4"/>
  <c r="D69" i="4"/>
  <c r="R7" i="4"/>
  <c r="R18" i="4"/>
  <c r="H59" i="4"/>
  <c r="S7" i="4"/>
  <c r="N7" i="4"/>
  <c r="S29" i="4"/>
  <c r="P79" i="4"/>
  <c r="E59" i="4"/>
  <c r="M59" i="4"/>
  <c r="I69" i="4"/>
  <c r="Q69" i="4"/>
  <c r="E79" i="4"/>
  <c r="M79" i="4"/>
  <c r="I89" i="4"/>
  <c r="Q89" i="4"/>
  <c r="J29" i="4"/>
  <c r="R29" i="4"/>
  <c r="H89" i="4"/>
  <c r="P89" i="4"/>
  <c r="R49" i="4"/>
  <c r="I7" i="4"/>
  <c r="Q7" i="4"/>
  <c r="E18" i="4"/>
  <c r="M18" i="4"/>
  <c r="I29" i="4"/>
  <c r="Q29" i="4"/>
  <c r="K59" i="4"/>
  <c r="H7" i="4"/>
  <c r="P7" i="4"/>
  <c r="D18" i="4"/>
  <c r="L18" i="4"/>
  <c r="H29" i="4"/>
  <c r="P29" i="4"/>
  <c r="G7" i="4"/>
  <c r="O7" i="4"/>
  <c r="K18" i="4"/>
  <c r="S18" i="4"/>
  <c r="G29" i="4"/>
  <c r="O29" i="4"/>
  <c r="AC16" i="1"/>
  <c r="U16" i="1"/>
  <c r="M16" i="1"/>
  <c r="AH17" i="1"/>
  <c r="Z17" i="1"/>
  <c r="R17" i="1"/>
  <c r="J17" i="1"/>
  <c r="AD16" i="1"/>
  <c r="V16" i="1"/>
  <c r="N16" i="1"/>
  <c r="AI17" i="1"/>
  <c r="AA17" i="1"/>
  <c r="S17" i="1"/>
  <c r="K17" i="1"/>
  <c r="AE16" i="1"/>
  <c r="W16" i="1"/>
  <c r="O16" i="1"/>
  <c r="AB17" i="1"/>
  <c r="T17" i="1"/>
  <c r="L17" i="1"/>
  <c r="AF16" i="1"/>
  <c r="X16" i="1"/>
  <c r="P16" i="1"/>
  <c r="AG16" i="1"/>
  <c r="Y16" i="1"/>
  <c r="Q16" i="1"/>
  <c r="D16" i="1" l="1"/>
  <c r="D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F8" i="1"/>
  <c r="G8" i="1"/>
  <c r="H8" i="1"/>
  <c r="I8" i="1"/>
  <c r="J8" i="1"/>
  <c r="K8" i="1"/>
  <c r="L8" i="1"/>
  <c r="N8" i="1"/>
  <c r="O8" i="1"/>
  <c r="P8" i="1"/>
  <c r="Q8" i="1"/>
  <c r="R8" i="1"/>
  <c r="S8" i="1"/>
  <c r="T8" i="1"/>
  <c r="V8" i="1"/>
  <c r="W8" i="1"/>
  <c r="X8" i="1"/>
  <c r="Y8" i="1"/>
  <c r="Z8" i="1"/>
  <c r="AA8" i="1"/>
  <c r="F17" i="1"/>
  <c r="H17" i="1"/>
  <c r="E16" i="1"/>
  <c r="F16" i="1"/>
  <c r="G16" i="1"/>
  <c r="H16" i="1"/>
  <c r="I16" i="1"/>
  <c r="D18" i="1" l="1"/>
  <c r="D17" i="1"/>
  <c r="AB8" i="1"/>
  <c r="U8" i="1"/>
  <c r="M8" i="1"/>
  <c r="E8" i="1"/>
  <c r="AC8" i="1"/>
  <c r="D8" i="1"/>
  <c r="D6" i="1"/>
</calcChain>
</file>

<file path=xl/sharedStrings.xml><?xml version="1.0" encoding="utf-8"?>
<sst xmlns="http://schemas.openxmlformats.org/spreadsheetml/2006/main" count="656" uniqueCount="71">
  <si>
    <t>Teleline T1 1,2W</t>
  </si>
  <si>
    <t>Цена за единицу USD</t>
  </si>
  <si>
    <t>Мощность Вт.</t>
  </si>
  <si>
    <t>Световой поток lm</t>
  </si>
  <si>
    <t>Класс защиты IP</t>
  </si>
  <si>
    <t>Угол рассеивания</t>
  </si>
  <si>
    <t>Гарантия лет</t>
  </si>
  <si>
    <t>Цветовая температура К</t>
  </si>
  <si>
    <t>Расстояние по центрам мм</t>
  </si>
  <si>
    <t>Teleline T2 2W</t>
  </si>
  <si>
    <t>Teleline T4 4W</t>
  </si>
  <si>
    <t>Teleline T0 0,5W</t>
  </si>
  <si>
    <t>MINI M-3 04</t>
  </si>
  <si>
    <t>MINI M-3 07</t>
  </si>
  <si>
    <t xml:space="preserve">                          </t>
  </si>
  <si>
    <t>10º х 65º</t>
  </si>
  <si>
    <t>DUOLITE  DS20</t>
  </si>
  <si>
    <t>DUOLITE 1060 DS15</t>
  </si>
  <si>
    <t>PRIZMA P2 НЕ 0,72W</t>
  </si>
  <si>
    <t>PRIZMA P2 НЕ 1,0W</t>
  </si>
  <si>
    <t>PRIZMA P3 НЕ 1,5W</t>
  </si>
  <si>
    <t>PRIZMA P4 НЕ 2,0W</t>
  </si>
  <si>
    <t>P1 HE 0,5 W</t>
  </si>
  <si>
    <t>P2 HE 1 W</t>
  </si>
  <si>
    <t>P3 HE 1 ,5W</t>
  </si>
  <si>
    <t>P4 HE 2W</t>
  </si>
  <si>
    <t>MINI3 0,7 W</t>
  </si>
  <si>
    <t>MINI3 0,4 W</t>
  </si>
  <si>
    <t>Teleline T2 1,2W</t>
  </si>
  <si>
    <t>PRIZMA P0 НЕ 0,36W</t>
  </si>
  <si>
    <t>PRIZMA P1 НЕ 0,5W</t>
  </si>
  <si>
    <t>P3  1 ,2W</t>
  </si>
  <si>
    <t>Teleline T2MAX</t>
  </si>
  <si>
    <t>Teleline T4MAX</t>
  </si>
  <si>
    <t>Teleline T7</t>
  </si>
  <si>
    <t>PRIZMA PRO4 1,44W</t>
  </si>
  <si>
    <t>PRIZMA PRO3 1W</t>
  </si>
  <si>
    <t>PRIZMA PRO2 0,72W</t>
  </si>
  <si>
    <t>PRIZMA PRO1 0,36W</t>
  </si>
  <si>
    <t>Price per piece EUR</t>
  </si>
  <si>
    <t>Power, W</t>
  </si>
  <si>
    <t>luminous flux, lm</t>
  </si>
  <si>
    <t>Protection class, IP</t>
  </si>
  <si>
    <t>Beam angle</t>
  </si>
  <si>
    <t>Waranty years</t>
  </si>
  <si>
    <t>Color temperature, К</t>
  </si>
  <si>
    <t>Center distance, mm</t>
  </si>
  <si>
    <t>Box 1000*500</t>
  </si>
  <si>
    <t>Installation depth, mm.</t>
  </si>
  <si>
    <t>Pitch of instalation, mm</t>
  </si>
  <si>
    <t>Quantity per 1m2</t>
  </si>
  <si>
    <t>Price per 1m2</t>
  </si>
  <si>
    <t>Power per 1m2</t>
  </si>
  <si>
    <t>lumen per 1m2</t>
  </si>
  <si>
    <t>Illuminance, lux</t>
  </si>
  <si>
    <t>Economy option (installation on 1 side)</t>
  </si>
  <si>
    <t>Box 1000*600</t>
  </si>
  <si>
    <t>Pitch of instalation, mm.</t>
  </si>
  <si>
    <t>Between rows,  mm.</t>
  </si>
  <si>
    <t>Leg</t>
  </si>
  <si>
    <t>Depth</t>
  </si>
  <si>
    <t>Step</t>
  </si>
  <si>
    <t>Brightness</t>
  </si>
  <si>
    <t>Qty</t>
  </si>
  <si>
    <t>Box 1000*1000</t>
  </si>
  <si>
    <t>Box 1000*900</t>
  </si>
  <si>
    <t>Box 1000*800</t>
  </si>
  <si>
    <t>Box 1000*700</t>
  </si>
  <si>
    <t>Box 1000*1300</t>
  </si>
  <si>
    <t>Box 1000*1200</t>
  </si>
  <si>
    <t>Box 1000*1100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</si>
</sst>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6"/>
      <color rgb="FFFFC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rgb="FFFFFFFF"/>
      <name val="Calibri"/>
      <family val="2"/>
      <charset val="204"/>
    </font>
    <font>
      <sz val="11"/>
      <color rgb="FFF2F2F2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  <fill>
      <patternFill patternType="solid">
        <fgColor rgb="FF585858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FFFFFF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11" borderId="0" applyNumberFormat="0" applyBorder="0" applyAlignment="0" applyProtection="0"/>
  </cellStyleXfs>
  <cellXfs count="81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3" borderId="1" xfId="1" applyFont="1" applyFill="1" applyBorder="1"/>
    <xf numFmtId="0" fontId="5" fillId="0" borderId="0" xfId="1" applyFont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1" fontId="5" fillId="4" borderId="0" xfId="1" applyNumberFormat="1" applyFont="1" applyFill="1" applyAlignment="1">
      <alignment horizontal="center" vertical="center"/>
    </xf>
    <xf numFmtId="0" fontId="1" fillId="0" borderId="0" xfId="2"/>
    <xf numFmtId="0" fontId="2" fillId="0" borderId="0" xfId="2" applyFont="1" applyAlignment="1">
      <alignment horizontal="center"/>
    </xf>
    <xf numFmtId="0" fontId="3" fillId="3" borderId="1" xfId="2" applyFont="1" applyFill="1" applyBorder="1"/>
    <xf numFmtId="0" fontId="5" fillId="0" borderId="0" xfId="2" applyFont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2" fontId="2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164" fontId="5" fillId="4" borderId="0" xfId="1" applyNumberFormat="1" applyFont="1" applyFill="1" applyAlignment="1">
      <alignment horizontal="center"/>
    </xf>
    <xf numFmtId="164" fontId="5" fillId="4" borderId="0" xfId="2" applyNumberFormat="1" applyFont="1" applyFill="1" applyAlignment="1">
      <alignment horizontal="center"/>
    </xf>
    <xf numFmtId="164" fontId="5" fillId="0" borderId="0" xfId="2" applyNumberFormat="1" applyFont="1" applyAlignment="1">
      <alignment horizontal="center"/>
    </xf>
    <xf numFmtId="164" fontId="5" fillId="4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1" fontId="2" fillId="0" borderId="0" xfId="0" applyNumberFormat="1" applyFont="1" applyAlignment="1">
      <alignment horizontal="center"/>
    </xf>
    <xf numFmtId="0" fontId="2" fillId="6" borderId="1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7" borderId="1" xfId="0" applyFont="1" applyFill="1" applyBorder="1"/>
    <xf numFmtId="0" fontId="2" fillId="7" borderId="0" xfId="0" applyFont="1" applyFill="1" applyAlignment="1">
      <alignment horizontal="center"/>
    </xf>
    <xf numFmtId="0" fontId="9" fillId="2" borderId="12" xfId="0" applyFont="1" applyFill="1" applyBorder="1" applyAlignment="1">
      <alignment horizontal="center" wrapText="1"/>
    </xf>
    <xf numFmtId="0" fontId="2" fillId="0" borderId="1" xfId="0" applyFont="1" applyBorder="1"/>
    <xf numFmtId="0" fontId="9" fillId="2" borderId="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wrapText="1"/>
    </xf>
    <xf numFmtId="0" fontId="7" fillId="3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8" borderId="0" xfId="0" applyFont="1" applyFill="1" applyAlignment="1">
      <alignment horizontal="center"/>
    </xf>
    <xf numFmtId="0" fontId="9" fillId="0" borderId="1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8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3" borderId="1" xfId="0" applyFont="1" applyFill="1" applyBorder="1"/>
    <xf numFmtId="0" fontId="2" fillId="9" borderId="10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" fontId="5" fillId="5" borderId="5" xfId="1" applyNumberFormat="1" applyFont="1" applyFill="1" applyBorder="1" applyAlignment="1">
      <alignment horizontal="center" vertical="center"/>
    </xf>
    <xf numFmtId="1" fontId="5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4" fillId="3" borderId="4" xfId="2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12" fillId="11" borderId="0" xfId="3"/>
  </cellXfs>
  <cellStyles count="4">
    <cellStyle name="Neutral" xfId="3" builtinId="28"/>
    <cellStyle name="Normal" xfId="0" builtinId="0"/>
    <cellStyle name="Обычный 2" xfId="2" xr:uid="{00000000-0005-0000-0000-000001000000}"/>
    <cellStyle name="Обычный 3" xfId="1" xr:uid="{00000000-0005-0000-0000-000002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30"/>
  <sheetViews>
    <sheetView tabSelected="1" topLeftCell="A45" zoomScale="80" zoomScaleNormal="80" workbookViewId="0">
      <selection activeCell="A72" sqref="A72"/>
    </sheetView>
  </sheetViews>
  <sheetFormatPr defaultRowHeight="14.5" x14ac:dyDescent="0.35"/>
  <cols>
    <col min="1" max="1" width="28" customWidth="1"/>
    <col min="3" max="3" width="23.54296875" customWidth="1"/>
    <col min="4" max="4" width="10.54296875" customWidth="1"/>
    <col min="60" max="60" width="9.81640625" bestFit="1" customWidth="1"/>
  </cols>
  <sheetData>
    <row r="1" spans="1:35" ht="21" x14ac:dyDescent="0.5">
      <c r="A1" s="3" t="s">
        <v>11</v>
      </c>
      <c r="B1" s="2"/>
      <c r="C1" s="1"/>
      <c r="D1" s="2"/>
      <c r="E1" s="2"/>
      <c r="F1" s="1"/>
      <c r="G1" s="1"/>
      <c r="H1" s="1"/>
    </row>
    <row r="2" spans="1:35" x14ac:dyDescent="0.35">
      <c r="A2" s="28" t="s">
        <v>39</v>
      </c>
      <c r="B2" s="2">
        <v>0.17</v>
      </c>
      <c r="C2" s="29" t="s">
        <v>48</v>
      </c>
      <c r="D2" s="59">
        <v>40</v>
      </c>
      <c r="E2" s="66"/>
      <c r="F2" s="59">
        <v>50</v>
      </c>
      <c r="G2" s="60"/>
      <c r="H2" s="60"/>
      <c r="I2" s="60"/>
      <c r="J2" s="59">
        <v>60</v>
      </c>
      <c r="K2" s="60"/>
      <c r="L2" s="60"/>
      <c r="M2" s="60"/>
      <c r="N2" s="59">
        <v>70</v>
      </c>
      <c r="O2" s="60"/>
      <c r="P2" s="60"/>
      <c r="Q2" s="60"/>
      <c r="R2" s="59">
        <v>80</v>
      </c>
      <c r="S2" s="60"/>
      <c r="T2" s="60"/>
      <c r="U2" s="60"/>
      <c r="V2" s="59">
        <v>90</v>
      </c>
      <c r="W2" s="60"/>
      <c r="X2" s="60"/>
      <c r="Y2" s="60"/>
      <c r="Z2" s="59">
        <v>100</v>
      </c>
      <c r="AA2" s="60"/>
      <c r="AB2" s="60"/>
      <c r="AC2" s="60"/>
    </row>
    <row r="3" spans="1:35" x14ac:dyDescent="0.35">
      <c r="A3" s="28" t="s">
        <v>40</v>
      </c>
      <c r="B3" s="2">
        <v>0.5</v>
      </c>
      <c r="C3" s="28" t="s">
        <v>57</v>
      </c>
      <c r="D3" s="5">
        <v>90</v>
      </c>
      <c r="E3" s="5">
        <v>100</v>
      </c>
      <c r="F3" s="4">
        <v>90</v>
      </c>
      <c r="G3" s="4">
        <v>100</v>
      </c>
      <c r="H3" s="4">
        <v>120</v>
      </c>
      <c r="I3" s="4">
        <v>140</v>
      </c>
      <c r="J3" s="4">
        <v>90</v>
      </c>
      <c r="K3" s="4">
        <v>100</v>
      </c>
      <c r="L3" s="4">
        <v>120</v>
      </c>
      <c r="M3" s="4">
        <v>140</v>
      </c>
      <c r="N3" s="4">
        <v>90</v>
      </c>
      <c r="O3" s="4">
        <v>100</v>
      </c>
      <c r="P3" s="4">
        <v>120</v>
      </c>
      <c r="Q3" s="4">
        <v>140</v>
      </c>
      <c r="R3" s="4">
        <v>90</v>
      </c>
      <c r="S3" s="4">
        <v>100</v>
      </c>
      <c r="T3" s="4">
        <v>120</v>
      </c>
      <c r="U3" s="4">
        <v>140</v>
      </c>
      <c r="V3" s="4">
        <v>90</v>
      </c>
      <c r="W3" s="4">
        <v>100</v>
      </c>
      <c r="X3" s="4">
        <v>120</v>
      </c>
      <c r="Y3" s="4">
        <v>140</v>
      </c>
      <c r="Z3" s="4">
        <v>90</v>
      </c>
      <c r="AA3" s="4">
        <v>100</v>
      </c>
      <c r="AB3" s="4">
        <v>120</v>
      </c>
      <c r="AC3" s="4">
        <v>140</v>
      </c>
    </row>
    <row r="4" spans="1:35" x14ac:dyDescent="0.35">
      <c r="A4" s="28" t="s">
        <v>41</v>
      </c>
      <c r="B4" s="2">
        <v>55</v>
      </c>
      <c r="C4" s="28" t="s">
        <v>58</v>
      </c>
      <c r="D4" s="5">
        <v>90</v>
      </c>
      <c r="E4" s="5">
        <v>100</v>
      </c>
      <c r="F4" s="4">
        <v>90</v>
      </c>
      <c r="G4" s="4">
        <v>100</v>
      </c>
      <c r="H4" s="4">
        <v>120</v>
      </c>
      <c r="I4" s="4">
        <v>140</v>
      </c>
      <c r="J4" s="4">
        <v>90</v>
      </c>
      <c r="K4" s="4">
        <v>100</v>
      </c>
      <c r="L4" s="4">
        <v>120</v>
      </c>
      <c r="M4" s="4">
        <v>140</v>
      </c>
      <c r="N4" s="4">
        <v>90</v>
      </c>
      <c r="O4" s="4">
        <v>100</v>
      </c>
      <c r="P4" s="4">
        <v>120</v>
      </c>
      <c r="Q4" s="4">
        <v>140</v>
      </c>
      <c r="R4" s="4">
        <v>90</v>
      </c>
      <c r="S4" s="4">
        <v>100</v>
      </c>
      <c r="T4" s="4">
        <v>120</v>
      </c>
      <c r="U4" s="4">
        <v>140</v>
      </c>
      <c r="V4" s="4">
        <v>90</v>
      </c>
      <c r="W4" s="4">
        <v>100</v>
      </c>
      <c r="X4" s="4">
        <v>120</v>
      </c>
      <c r="Y4" s="4">
        <v>140</v>
      </c>
      <c r="Z4" s="4">
        <v>90</v>
      </c>
      <c r="AA4" s="4">
        <v>100</v>
      </c>
      <c r="AB4" s="4">
        <v>120</v>
      </c>
      <c r="AC4" s="4">
        <v>140</v>
      </c>
    </row>
    <row r="5" spans="1:35" x14ac:dyDescent="0.35">
      <c r="A5" s="28" t="s">
        <v>42</v>
      </c>
      <c r="B5" s="2">
        <v>65</v>
      </c>
      <c r="C5" s="28" t="s">
        <v>50</v>
      </c>
      <c r="D5" s="20">
        <f>(1000/D3)*(1000/D4)</f>
        <v>123.45679012345678</v>
      </c>
      <c r="E5" s="20">
        <f t="shared" ref="E5:AC5" si="0">(1000/E3)*(1000/E4)</f>
        <v>100</v>
      </c>
      <c r="F5" s="17">
        <f t="shared" si="0"/>
        <v>123.45679012345678</v>
      </c>
      <c r="G5" s="17">
        <f t="shared" si="0"/>
        <v>100</v>
      </c>
      <c r="H5" s="17">
        <f t="shared" si="0"/>
        <v>69.444444444444457</v>
      </c>
      <c r="I5" s="17">
        <f t="shared" si="0"/>
        <v>51.020408163265309</v>
      </c>
      <c r="J5" s="17">
        <f t="shared" si="0"/>
        <v>123.45679012345678</v>
      </c>
      <c r="K5" s="17">
        <f t="shared" si="0"/>
        <v>100</v>
      </c>
      <c r="L5" s="17">
        <f t="shared" si="0"/>
        <v>69.444444444444457</v>
      </c>
      <c r="M5" s="17">
        <f t="shared" si="0"/>
        <v>51.020408163265309</v>
      </c>
      <c r="N5" s="17">
        <f t="shared" si="0"/>
        <v>123.45679012345678</v>
      </c>
      <c r="O5" s="17">
        <f t="shared" si="0"/>
        <v>100</v>
      </c>
      <c r="P5" s="17">
        <f t="shared" si="0"/>
        <v>69.444444444444457</v>
      </c>
      <c r="Q5" s="17">
        <f t="shared" si="0"/>
        <v>51.020408163265309</v>
      </c>
      <c r="R5" s="17">
        <f t="shared" si="0"/>
        <v>123.45679012345678</v>
      </c>
      <c r="S5" s="17">
        <f t="shared" si="0"/>
        <v>100</v>
      </c>
      <c r="T5" s="17">
        <f t="shared" si="0"/>
        <v>69.444444444444457</v>
      </c>
      <c r="U5" s="17">
        <f t="shared" si="0"/>
        <v>51.020408163265309</v>
      </c>
      <c r="V5" s="17">
        <f t="shared" si="0"/>
        <v>123.45679012345678</v>
      </c>
      <c r="W5" s="17">
        <f t="shared" si="0"/>
        <v>100</v>
      </c>
      <c r="X5" s="17">
        <f t="shared" si="0"/>
        <v>69.444444444444457</v>
      </c>
      <c r="Y5" s="17">
        <f t="shared" si="0"/>
        <v>51.020408163265309</v>
      </c>
      <c r="Z5" s="17">
        <f t="shared" si="0"/>
        <v>123.45679012345678</v>
      </c>
      <c r="AA5" s="17">
        <f t="shared" si="0"/>
        <v>100</v>
      </c>
      <c r="AB5" s="17">
        <f t="shared" si="0"/>
        <v>69.444444444444457</v>
      </c>
      <c r="AC5" s="17">
        <f t="shared" si="0"/>
        <v>51.020408163265309</v>
      </c>
    </row>
    <row r="6" spans="1:35" x14ac:dyDescent="0.35">
      <c r="A6" s="28" t="s">
        <v>43</v>
      </c>
      <c r="B6" s="2">
        <v>160</v>
      </c>
      <c r="C6" s="28" t="s">
        <v>51</v>
      </c>
      <c r="D6" s="23">
        <f>D5*$B$2</f>
        <v>20.987654320987655</v>
      </c>
      <c r="E6" s="23">
        <f t="shared" ref="E6:AC6" si="1">E5*$B$2</f>
        <v>17</v>
      </c>
      <c r="F6" s="18">
        <f t="shared" si="1"/>
        <v>20.987654320987655</v>
      </c>
      <c r="G6" s="18">
        <f t="shared" si="1"/>
        <v>17</v>
      </c>
      <c r="H6" s="18">
        <f t="shared" si="1"/>
        <v>11.805555555555559</v>
      </c>
      <c r="I6" s="18">
        <f t="shared" si="1"/>
        <v>8.6734693877551035</v>
      </c>
      <c r="J6" s="18">
        <f t="shared" si="1"/>
        <v>20.987654320987655</v>
      </c>
      <c r="K6" s="18">
        <f t="shared" si="1"/>
        <v>17</v>
      </c>
      <c r="L6" s="18">
        <f t="shared" si="1"/>
        <v>11.805555555555559</v>
      </c>
      <c r="M6" s="18">
        <f t="shared" si="1"/>
        <v>8.6734693877551035</v>
      </c>
      <c r="N6" s="18">
        <f t="shared" si="1"/>
        <v>20.987654320987655</v>
      </c>
      <c r="O6" s="18">
        <f t="shared" si="1"/>
        <v>17</v>
      </c>
      <c r="P6" s="18">
        <f t="shared" si="1"/>
        <v>11.805555555555559</v>
      </c>
      <c r="Q6" s="18">
        <f t="shared" si="1"/>
        <v>8.6734693877551035</v>
      </c>
      <c r="R6" s="18">
        <f t="shared" si="1"/>
        <v>20.987654320987655</v>
      </c>
      <c r="S6" s="18">
        <f t="shared" si="1"/>
        <v>17</v>
      </c>
      <c r="T6" s="18">
        <f t="shared" si="1"/>
        <v>11.805555555555559</v>
      </c>
      <c r="U6" s="18">
        <f t="shared" si="1"/>
        <v>8.6734693877551035</v>
      </c>
      <c r="V6" s="18">
        <f t="shared" si="1"/>
        <v>20.987654320987655</v>
      </c>
      <c r="W6" s="18">
        <f t="shared" si="1"/>
        <v>17</v>
      </c>
      <c r="X6" s="18">
        <f t="shared" si="1"/>
        <v>11.805555555555559</v>
      </c>
      <c r="Y6" s="18">
        <f t="shared" si="1"/>
        <v>8.6734693877551035</v>
      </c>
      <c r="Z6" s="18">
        <f t="shared" si="1"/>
        <v>20.987654320987655</v>
      </c>
      <c r="AA6" s="18">
        <f t="shared" si="1"/>
        <v>17</v>
      </c>
      <c r="AB6" s="18">
        <f t="shared" si="1"/>
        <v>11.805555555555559</v>
      </c>
      <c r="AC6" s="18">
        <f t="shared" si="1"/>
        <v>8.6734693877551035</v>
      </c>
    </row>
    <row r="7" spans="1:35" x14ac:dyDescent="0.35">
      <c r="A7" s="28" t="s">
        <v>44</v>
      </c>
      <c r="B7" s="2">
        <v>5</v>
      </c>
      <c r="C7" s="28" t="s">
        <v>52</v>
      </c>
      <c r="D7" s="23">
        <f>D5*$B3</f>
        <v>61.728395061728392</v>
      </c>
      <c r="E7" s="23">
        <f t="shared" ref="E7:AC7" si="2">E5*$B3</f>
        <v>50</v>
      </c>
      <c r="F7" s="18">
        <f t="shared" si="2"/>
        <v>61.728395061728392</v>
      </c>
      <c r="G7" s="18">
        <f t="shared" si="2"/>
        <v>50</v>
      </c>
      <c r="H7" s="18">
        <f t="shared" si="2"/>
        <v>34.722222222222229</v>
      </c>
      <c r="I7" s="18">
        <f t="shared" si="2"/>
        <v>25.510204081632654</v>
      </c>
      <c r="J7" s="18">
        <f t="shared" si="2"/>
        <v>61.728395061728392</v>
      </c>
      <c r="K7" s="18">
        <f t="shared" si="2"/>
        <v>50</v>
      </c>
      <c r="L7" s="18">
        <f t="shared" si="2"/>
        <v>34.722222222222229</v>
      </c>
      <c r="M7" s="18">
        <f t="shared" si="2"/>
        <v>25.510204081632654</v>
      </c>
      <c r="N7" s="18">
        <f t="shared" si="2"/>
        <v>61.728395061728392</v>
      </c>
      <c r="O7" s="18">
        <f t="shared" si="2"/>
        <v>50</v>
      </c>
      <c r="P7" s="18">
        <f t="shared" si="2"/>
        <v>34.722222222222229</v>
      </c>
      <c r="Q7" s="18">
        <f t="shared" si="2"/>
        <v>25.510204081632654</v>
      </c>
      <c r="R7" s="18">
        <f t="shared" si="2"/>
        <v>61.728395061728392</v>
      </c>
      <c r="S7" s="18">
        <f t="shared" si="2"/>
        <v>50</v>
      </c>
      <c r="T7" s="18">
        <f t="shared" si="2"/>
        <v>34.722222222222229</v>
      </c>
      <c r="U7" s="18">
        <f t="shared" si="2"/>
        <v>25.510204081632654</v>
      </c>
      <c r="V7" s="18">
        <f t="shared" si="2"/>
        <v>61.728395061728392</v>
      </c>
      <c r="W7" s="18">
        <f t="shared" si="2"/>
        <v>50</v>
      </c>
      <c r="X7" s="18">
        <f t="shared" si="2"/>
        <v>34.722222222222229</v>
      </c>
      <c r="Y7" s="18">
        <f t="shared" si="2"/>
        <v>25.510204081632654</v>
      </c>
      <c r="Z7" s="18">
        <f t="shared" si="2"/>
        <v>61.728395061728392</v>
      </c>
      <c r="AA7" s="18">
        <f t="shared" si="2"/>
        <v>50</v>
      </c>
      <c r="AB7" s="18">
        <f t="shared" si="2"/>
        <v>34.722222222222229</v>
      </c>
      <c r="AC7" s="18">
        <f t="shared" si="2"/>
        <v>25.510204081632654</v>
      </c>
    </row>
    <row r="8" spans="1:35" x14ac:dyDescent="0.35">
      <c r="A8" s="28" t="s">
        <v>45</v>
      </c>
      <c r="B8" s="2">
        <v>6500</v>
      </c>
      <c r="C8" s="28" t="s">
        <v>53</v>
      </c>
      <c r="D8" s="6">
        <f>D5*$B4</f>
        <v>6790.1234567901229</v>
      </c>
      <c r="E8" s="6">
        <f t="shared" ref="E8:AC8" si="3">E5*$B4</f>
        <v>5500</v>
      </c>
      <c r="F8" s="13">
        <f t="shared" si="3"/>
        <v>6790.1234567901229</v>
      </c>
      <c r="G8" s="13">
        <f t="shared" si="3"/>
        <v>5500</v>
      </c>
      <c r="H8" s="13">
        <f t="shared" si="3"/>
        <v>3819.4444444444453</v>
      </c>
      <c r="I8" s="13">
        <f t="shared" si="3"/>
        <v>2806.1224489795918</v>
      </c>
      <c r="J8" s="13">
        <f t="shared" si="3"/>
        <v>6790.1234567901229</v>
      </c>
      <c r="K8" s="13">
        <f t="shared" si="3"/>
        <v>5500</v>
      </c>
      <c r="L8" s="13">
        <f t="shared" si="3"/>
        <v>3819.4444444444453</v>
      </c>
      <c r="M8" s="13">
        <f t="shared" si="3"/>
        <v>2806.1224489795918</v>
      </c>
      <c r="N8" s="13">
        <f t="shared" si="3"/>
        <v>6790.1234567901229</v>
      </c>
      <c r="O8" s="13">
        <f t="shared" si="3"/>
        <v>5500</v>
      </c>
      <c r="P8" s="13">
        <f t="shared" si="3"/>
        <v>3819.4444444444453</v>
      </c>
      <c r="Q8" s="13">
        <f t="shared" si="3"/>
        <v>2806.1224489795918</v>
      </c>
      <c r="R8" s="13">
        <f t="shared" si="3"/>
        <v>6790.1234567901229</v>
      </c>
      <c r="S8" s="13">
        <f t="shared" si="3"/>
        <v>5500</v>
      </c>
      <c r="T8" s="13">
        <f t="shared" si="3"/>
        <v>3819.4444444444453</v>
      </c>
      <c r="U8" s="13">
        <f t="shared" si="3"/>
        <v>2806.1224489795918</v>
      </c>
      <c r="V8" s="13">
        <f t="shared" si="3"/>
        <v>6790.1234567901229</v>
      </c>
      <c r="W8" s="13">
        <f t="shared" si="3"/>
        <v>5500</v>
      </c>
      <c r="X8" s="13">
        <f t="shared" si="3"/>
        <v>3819.4444444444453</v>
      </c>
      <c r="Y8" s="13">
        <f t="shared" si="3"/>
        <v>2806.1224489795918</v>
      </c>
      <c r="Z8" s="13">
        <f t="shared" si="3"/>
        <v>6790.1234567901229</v>
      </c>
      <c r="AA8" s="13">
        <f t="shared" si="3"/>
        <v>5500</v>
      </c>
      <c r="AB8" s="13">
        <f t="shared" si="3"/>
        <v>3819.4444444444453</v>
      </c>
      <c r="AC8" s="13">
        <f t="shared" si="3"/>
        <v>2806.1224489795918</v>
      </c>
    </row>
    <row r="9" spans="1:35" x14ac:dyDescent="0.35">
      <c r="A9" s="28" t="s">
        <v>46</v>
      </c>
      <c r="B9" s="2">
        <v>180</v>
      </c>
      <c r="C9" s="28" t="s">
        <v>54</v>
      </c>
      <c r="D9" s="5">
        <v>3400</v>
      </c>
      <c r="E9" s="5">
        <v>2900</v>
      </c>
      <c r="F9" s="4">
        <v>3250</v>
      </c>
      <c r="G9" s="4">
        <v>2700</v>
      </c>
      <c r="H9" s="4">
        <v>2100</v>
      </c>
      <c r="I9" s="4">
        <v>1600</v>
      </c>
      <c r="J9" s="4">
        <v>3000</v>
      </c>
      <c r="K9" s="4">
        <v>2500</v>
      </c>
      <c r="L9" s="4">
        <v>2000</v>
      </c>
      <c r="M9" s="4">
        <v>1550</v>
      </c>
      <c r="N9" s="4">
        <v>2900</v>
      </c>
      <c r="O9" s="4">
        <v>2300</v>
      </c>
      <c r="P9" s="4">
        <v>1900</v>
      </c>
      <c r="Q9" s="4">
        <v>1500</v>
      </c>
      <c r="R9" s="4">
        <v>2800</v>
      </c>
      <c r="S9" s="4">
        <v>2100</v>
      </c>
      <c r="T9" s="4">
        <v>1800</v>
      </c>
      <c r="U9" s="4">
        <v>1450</v>
      </c>
      <c r="V9" s="4">
        <v>2700</v>
      </c>
      <c r="W9" s="4">
        <v>2050</v>
      </c>
      <c r="X9" s="4">
        <v>1700</v>
      </c>
      <c r="Y9" s="4">
        <v>1400</v>
      </c>
      <c r="Z9" s="4">
        <v>2600</v>
      </c>
      <c r="AA9" s="4">
        <v>2000</v>
      </c>
      <c r="AB9" s="4">
        <v>1600</v>
      </c>
      <c r="AC9" s="4">
        <v>1350</v>
      </c>
    </row>
    <row r="11" spans="1:35" ht="21" x14ac:dyDescent="0.5">
      <c r="A11" s="9" t="s">
        <v>0</v>
      </c>
      <c r="B11" s="8"/>
      <c r="C11" s="7"/>
      <c r="D11" s="8"/>
      <c r="E11" s="8"/>
      <c r="F11" s="7"/>
      <c r="G11" s="7"/>
      <c r="H11" s="7"/>
    </row>
    <row r="12" spans="1:35" x14ac:dyDescent="0.35">
      <c r="A12" s="28" t="s">
        <v>39</v>
      </c>
      <c r="B12" s="8">
        <v>0.25</v>
      </c>
      <c r="C12" s="29" t="s">
        <v>48</v>
      </c>
      <c r="D12" s="64">
        <v>50</v>
      </c>
      <c r="E12" s="67"/>
      <c r="F12" s="64">
        <v>60</v>
      </c>
      <c r="G12" s="65"/>
      <c r="H12" s="65"/>
      <c r="I12" s="64">
        <v>70</v>
      </c>
      <c r="J12" s="65"/>
      <c r="K12" s="65"/>
      <c r="L12" s="64">
        <v>80</v>
      </c>
      <c r="M12" s="65"/>
      <c r="N12" s="65"/>
      <c r="O12" s="64">
        <v>90</v>
      </c>
      <c r="P12" s="65"/>
      <c r="Q12" s="65"/>
      <c r="R12" s="64">
        <v>100</v>
      </c>
      <c r="S12" s="65"/>
      <c r="T12" s="65"/>
      <c r="U12" s="64">
        <v>120</v>
      </c>
      <c r="V12" s="65"/>
      <c r="W12" s="65"/>
      <c r="X12" s="64">
        <v>140</v>
      </c>
      <c r="Y12" s="65"/>
      <c r="Z12" s="65"/>
      <c r="AA12" s="64">
        <v>160</v>
      </c>
      <c r="AB12" s="65"/>
      <c r="AC12" s="65"/>
      <c r="AD12" s="64">
        <v>180</v>
      </c>
      <c r="AE12" s="65"/>
      <c r="AF12" s="65"/>
      <c r="AG12" s="64">
        <v>200</v>
      </c>
      <c r="AH12" s="65"/>
      <c r="AI12" s="65"/>
    </row>
    <row r="13" spans="1:35" x14ac:dyDescent="0.35">
      <c r="A13" s="28" t="s">
        <v>40</v>
      </c>
      <c r="B13" s="8">
        <v>1.2</v>
      </c>
      <c r="C13" s="28" t="s">
        <v>57</v>
      </c>
      <c r="D13" s="11">
        <v>160</v>
      </c>
      <c r="E13" s="11">
        <v>180</v>
      </c>
      <c r="F13" s="10">
        <v>160</v>
      </c>
      <c r="G13" s="10">
        <v>180</v>
      </c>
      <c r="H13" s="11">
        <v>200</v>
      </c>
      <c r="I13" s="10">
        <v>160</v>
      </c>
      <c r="J13" s="10">
        <v>180</v>
      </c>
      <c r="K13" s="10">
        <v>200</v>
      </c>
      <c r="L13" s="10">
        <v>160</v>
      </c>
      <c r="M13" s="10">
        <v>180</v>
      </c>
      <c r="N13" s="10">
        <v>200</v>
      </c>
      <c r="O13" s="10">
        <v>160</v>
      </c>
      <c r="P13" s="10">
        <v>180</v>
      </c>
      <c r="Q13" s="10">
        <v>200</v>
      </c>
      <c r="R13" s="10">
        <v>160</v>
      </c>
      <c r="S13" s="10">
        <v>180</v>
      </c>
      <c r="T13" s="10">
        <v>200</v>
      </c>
      <c r="U13" s="10">
        <v>160</v>
      </c>
      <c r="V13" s="10">
        <v>180</v>
      </c>
      <c r="W13" s="10">
        <v>200</v>
      </c>
      <c r="X13" s="10">
        <v>160</v>
      </c>
      <c r="Y13" s="10">
        <v>180</v>
      </c>
      <c r="Z13" s="10">
        <v>200</v>
      </c>
      <c r="AA13" s="10">
        <v>160</v>
      </c>
      <c r="AB13" s="10">
        <v>180</v>
      </c>
      <c r="AC13" s="10">
        <v>200</v>
      </c>
      <c r="AD13" s="10">
        <v>160</v>
      </c>
      <c r="AE13" s="10">
        <v>180</v>
      </c>
      <c r="AF13" s="10">
        <v>200</v>
      </c>
      <c r="AG13" s="10">
        <v>160</v>
      </c>
      <c r="AH13" s="10">
        <v>180</v>
      </c>
      <c r="AI13" s="10">
        <v>200</v>
      </c>
    </row>
    <row r="14" spans="1:35" x14ac:dyDescent="0.35">
      <c r="A14" s="28" t="s">
        <v>41</v>
      </c>
      <c r="B14" s="8">
        <v>120</v>
      </c>
      <c r="C14" s="28" t="s">
        <v>58</v>
      </c>
      <c r="D14" s="11">
        <v>160</v>
      </c>
      <c r="E14" s="11">
        <v>180</v>
      </c>
      <c r="F14" s="10">
        <v>160</v>
      </c>
      <c r="G14" s="10">
        <v>180</v>
      </c>
      <c r="H14" s="11">
        <v>200</v>
      </c>
      <c r="I14" s="10">
        <v>160</v>
      </c>
      <c r="J14" s="10">
        <v>180</v>
      </c>
      <c r="K14" s="10">
        <v>200</v>
      </c>
      <c r="L14" s="10">
        <v>160</v>
      </c>
      <c r="M14" s="10">
        <v>180</v>
      </c>
      <c r="N14" s="10">
        <v>200</v>
      </c>
      <c r="O14" s="10">
        <v>160</v>
      </c>
      <c r="P14" s="10">
        <v>180</v>
      </c>
      <c r="Q14" s="10">
        <v>200</v>
      </c>
      <c r="R14" s="10">
        <v>160</v>
      </c>
      <c r="S14" s="10">
        <v>180</v>
      </c>
      <c r="T14" s="10">
        <v>200</v>
      </c>
      <c r="U14" s="10">
        <v>160</v>
      </c>
      <c r="V14" s="10">
        <v>180</v>
      </c>
      <c r="W14" s="10">
        <v>200</v>
      </c>
      <c r="X14" s="10">
        <v>160</v>
      </c>
      <c r="Y14" s="10">
        <v>180</v>
      </c>
      <c r="Z14" s="10">
        <v>200</v>
      </c>
      <c r="AA14" s="10">
        <v>160</v>
      </c>
      <c r="AB14" s="10">
        <v>180</v>
      </c>
      <c r="AC14" s="10">
        <v>200</v>
      </c>
      <c r="AD14" s="10">
        <v>160</v>
      </c>
      <c r="AE14" s="10">
        <v>180</v>
      </c>
      <c r="AF14" s="10">
        <v>200</v>
      </c>
      <c r="AG14" s="10">
        <v>160</v>
      </c>
      <c r="AH14" s="10">
        <v>180</v>
      </c>
      <c r="AI14" s="10">
        <v>200</v>
      </c>
    </row>
    <row r="15" spans="1:35" x14ac:dyDescent="0.35">
      <c r="A15" s="28" t="s">
        <v>42</v>
      </c>
      <c r="B15" s="8">
        <v>65</v>
      </c>
      <c r="C15" s="28" t="s">
        <v>50</v>
      </c>
      <c r="D15" s="21">
        <f t="shared" ref="D15:AI15" si="4">(1000/D13)*(1000/D14)</f>
        <v>39.0625</v>
      </c>
      <c r="E15" s="21">
        <f t="shared" si="4"/>
        <v>30.864197530864196</v>
      </c>
      <c r="F15" s="22">
        <f t="shared" si="4"/>
        <v>39.0625</v>
      </c>
      <c r="G15" s="22">
        <f t="shared" si="4"/>
        <v>30.864197530864196</v>
      </c>
      <c r="H15" s="21">
        <f t="shared" si="4"/>
        <v>25</v>
      </c>
      <c r="I15" s="22">
        <f t="shared" si="4"/>
        <v>39.0625</v>
      </c>
      <c r="J15" s="22">
        <f t="shared" si="4"/>
        <v>30.864197530864196</v>
      </c>
      <c r="K15" s="22">
        <f t="shared" si="4"/>
        <v>25</v>
      </c>
      <c r="L15" s="22">
        <f t="shared" si="4"/>
        <v>39.0625</v>
      </c>
      <c r="M15" s="22">
        <f t="shared" si="4"/>
        <v>30.864197530864196</v>
      </c>
      <c r="N15" s="22">
        <f t="shared" si="4"/>
        <v>25</v>
      </c>
      <c r="O15" s="22">
        <f t="shared" si="4"/>
        <v>39.0625</v>
      </c>
      <c r="P15" s="22">
        <f t="shared" si="4"/>
        <v>30.864197530864196</v>
      </c>
      <c r="Q15" s="22">
        <f t="shared" si="4"/>
        <v>25</v>
      </c>
      <c r="R15" s="22">
        <f t="shared" si="4"/>
        <v>39.0625</v>
      </c>
      <c r="S15" s="22">
        <f t="shared" si="4"/>
        <v>30.864197530864196</v>
      </c>
      <c r="T15" s="22">
        <f t="shared" si="4"/>
        <v>25</v>
      </c>
      <c r="U15" s="22">
        <f t="shared" si="4"/>
        <v>39.0625</v>
      </c>
      <c r="V15" s="22">
        <f t="shared" si="4"/>
        <v>30.864197530864196</v>
      </c>
      <c r="W15" s="22">
        <f t="shared" si="4"/>
        <v>25</v>
      </c>
      <c r="X15" s="22">
        <f t="shared" si="4"/>
        <v>39.0625</v>
      </c>
      <c r="Y15" s="22">
        <f t="shared" si="4"/>
        <v>30.864197530864196</v>
      </c>
      <c r="Z15" s="22">
        <f t="shared" si="4"/>
        <v>25</v>
      </c>
      <c r="AA15" s="22">
        <f t="shared" si="4"/>
        <v>39.0625</v>
      </c>
      <c r="AB15" s="22">
        <f t="shared" si="4"/>
        <v>30.864197530864196</v>
      </c>
      <c r="AC15" s="22">
        <f t="shared" si="4"/>
        <v>25</v>
      </c>
      <c r="AD15" s="22">
        <f t="shared" si="4"/>
        <v>39.0625</v>
      </c>
      <c r="AE15" s="22">
        <f t="shared" si="4"/>
        <v>30.864197530864196</v>
      </c>
      <c r="AF15" s="22">
        <f t="shared" si="4"/>
        <v>25</v>
      </c>
      <c r="AG15" s="22">
        <f t="shared" si="4"/>
        <v>39.0625</v>
      </c>
      <c r="AH15" s="22">
        <f t="shared" si="4"/>
        <v>30.864197530864196</v>
      </c>
      <c r="AI15" s="22">
        <f t="shared" si="4"/>
        <v>25</v>
      </c>
    </row>
    <row r="16" spans="1:35" x14ac:dyDescent="0.35">
      <c r="A16" s="28" t="s">
        <v>43</v>
      </c>
      <c r="B16" s="8">
        <v>160</v>
      </c>
      <c r="C16" s="28" t="s">
        <v>51</v>
      </c>
      <c r="D16" s="23">
        <f t="shared" ref="D16:AI16" si="5">D15*$B$12</f>
        <v>9.765625</v>
      </c>
      <c r="E16" s="23">
        <f t="shared" si="5"/>
        <v>7.716049382716049</v>
      </c>
      <c r="F16" s="18">
        <f t="shared" si="5"/>
        <v>9.765625</v>
      </c>
      <c r="G16" s="18">
        <f t="shared" si="5"/>
        <v>7.716049382716049</v>
      </c>
      <c r="H16" s="23">
        <f t="shared" si="5"/>
        <v>6.25</v>
      </c>
      <c r="I16" s="18">
        <f t="shared" si="5"/>
        <v>9.765625</v>
      </c>
      <c r="J16" s="18">
        <f t="shared" si="5"/>
        <v>7.716049382716049</v>
      </c>
      <c r="K16" s="18">
        <f t="shared" si="5"/>
        <v>6.25</v>
      </c>
      <c r="L16" s="18">
        <f t="shared" si="5"/>
        <v>9.765625</v>
      </c>
      <c r="M16" s="18">
        <f t="shared" si="5"/>
        <v>7.716049382716049</v>
      </c>
      <c r="N16" s="18">
        <f t="shared" si="5"/>
        <v>6.25</v>
      </c>
      <c r="O16" s="18">
        <f t="shared" si="5"/>
        <v>9.765625</v>
      </c>
      <c r="P16" s="18">
        <f t="shared" si="5"/>
        <v>7.716049382716049</v>
      </c>
      <c r="Q16" s="18">
        <f t="shared" si="5"/>
        <v>6.25</v>
      </c>
      <c r="R16" s="18">
        <f t="shared" si="5"/>
        <v>9.765625</v>
      </c>
      <c r="S16" s="18">
        <f t="shared" si="5"/>
        <v>7.716049382716049</v>
      </c>
      <c r="T16" s="18">
        <f t="shared" si="5"/>
        <v>6.25</v>
      </c>
      <c r="U16" s="18">
        <f t="shared" si="5"/>
        <v>9.765625</v>
      </c>
      <c r="V16" s="18">
        <f t="shared" si="5"/>
        <v>7.716049382716049</v>
      </c>
      <c r="W16" s="18">
        <f t="shared" si="5"/>
        <v>6.25</v>
      </c>
      <c r="X16" s="18">
        <f t="shared" si="5"/>
        <v>9.765625</v>
      </c>
      <c r="Y16" s="18">
        <f t="shared" si="5"/>
        <v>7.716049382716049</v>
      </c>
      <c r="Z16" s="18">
        <f t="shared" si="5"/>
        <v>6.25</v>
      </c>
      <c r="AA16" s="18">
        <f t="shared" si="5"/>
        <v>9.765625</v>
      </c>
      <c r="AB16" s="18">
        <f t="shared" si="5"/>
        <v>7.716049382716049</v>
      </c>
      <c r="AC16" s="18">
        <f t="shared" si="5"/>
        <v>6.25</v>
      </c>
      <c r="AD16" s="18">
        <f t="shared" si="5"/>
        <v>9.765625</v>
      </c>
      <c r="AE16" s="18">
        <f t="shared" si="5"/>
        <v>7.716049382716049</v>
      </c>
      <c r="AF16" s="18">
        <f t="shared" si="5"/>
        <v>6.25</v>
      </c>
      <c r="AG16" s="18">
        <f t="shared" si="5"/>
        <v>9.765625</v>
      </c>
      <c r="AH16" s="18">
        <f t="shared" si="5"/>
        <v>7.716049382716049</v>
      </c>
      <c r="AI16" s="18">
        <f t="shared" si="5"/>
        <v>6.25</v>
      </c>
    </row>
    <row r="17" spans="1:35" x14ac:dyDescent="0.35">
      <c r="A17" s="28" t="s">
        <v>44</v>
      </c>
      <c r="B17" s="8">
        <v>5</v>
      </c>
      <c r="C17" s="28" t="s">
        <v>52</v>
      </c>
      <c r="D17" s="23">
        <f t="shared" ref="D17:AI17" si="6">D15*$B13</f>
        <v>46.875</v>
      </c>
      <c r="E17" s="23">
        <f t="shared" si="6"/>
        <v>37.037037037037031</v>
      </c>
      <c r="F17" s="18">
        <f t="shared" si="6"/>
        <v>46.875</v>
      </c>
      <c r="G17" s="18">
        <f t="shared" si="6"/>
        <v>37.037037037037031</v>
      </c>
      <c r="H17" s="23">
        <f t="shared" si="6"/>
        <v>30</v>
      </c>
      <c r="I17" s="18">
        <f t="shared" si="6"/>
        <v>46.875</v>
      </c>
      <c r="J17" s="18">
        <f t="shared" si="6"/>
        <v>37.037037037037031</v>
      </c>
      <c r="K17" s="18">
        <f t="shared" si="6"/>
        <v>30</v>
      </c>
      <c r="L17" s="18">
        <f t="shared" si="6"/>
        <v>46.875</v>
      </c>
      <c r="M17" s="18">
        <f t="shared" si="6"/>
        <v>37.037037037037031</v>
      </c>
      <c r="N17" s="18">
        <f t="shared" si="6"/>
        <v>30</v>
      </c>
      <c r="O17" s="18">
        <f t="shared" si="6"/>
        <v>46.875</v>
      </c>
      <c r="P17" s="18">
        <f t="shared" si="6"/>
        <v>37.037037037037031</v>
      </c>
      <c r="Q17" s="18">
        <f t="shared" si="6"/>
        <v>30</v>
      </c>
      <c r="R17" s="18">
        <f t="shared" si="6"/>
        <v>46.875</v>
      </c>
      <c r="S17" s="18">
        <f t="shared" si="6"/>
        <v>37.037037037037031</v>
      </c>
      <c r="T17" s="18">
        <f t="shared" si="6"/>
        <v>30</v>
      </c>
      <c r="U17" s="18">
        <f t="shared" si="6"/>
        <v>46.875</v>
      </c>
      <c r="V17" s="18">
        <f t="shared" si="6"/>
        <v>37.037037037037031</v>
      </c>
      <c r="W17" s="18">
        <f t="shared" si="6"/>
        <v>30</v>
      </c>
      <c r="X17" s="18">
        <f t="shared" si="6"/>
        <v>46.875</v>
      </c>
      <c r="Y17" s="18">
        <f t="shared" si="6"/>
        <v>37.037037037037031</v>
      </c>
      <c r="Z17" s="18">
        <f t="shared" si="6"/>
        <v>30</v>
      </c>
      <c r="AA17" s="18">
        <f t="shared" si="6"/>
        <v>46.875</v>
      </c>
      <c r="AB17" s="18">
        <f t="shared" si="6"/>
        <v>37.037037037037031</v>
      </c>
      <c r="AC17" s="18">
        <f t="shared" si="6"/>
        <v>30</v>
      </c>
      <c r="AD17" s="18">
        <f t="shared" si="6"/>
        <v>46.875</v>
      </c>
      <c r="AE17" s="18">
        <f t="shared" si="6"/>
        <v>37.037037037037031</v>
      </c>
      <c r="AF17" s="18">
        <f t="shared" si="6"/>
        <v>30</v>
      </c>
      <c r="AG17" s="18">
        <f t="shared" si="6"/>
        <v>46.875</v>
      </c>
      <c r="AH17" s="18">
        <f t="shared" si="6"/>
        <v>37.037037037037031</v>
      </c>
      <c r="AI17" s="18">
        <f t="shared" si="6"/>
        <v>30</v>
      </c>
    </row>
    <row r="18" spans="1:35" x14ac:dyDescent="0.35">
      <c r="A18" s="28" t="s">
        <v>45</v>
      </c>
      <c r="B18" s="8">
        <v>6500</v>
      </c>
      <c r="C18" s="28" t="s">
        <v>53</v>
      </c>
      <c r="D18" s="6">
        <f t="shared" ref="D18:AI18" si="7">D15*$B14</f>
        <v>4687.5</v>
      </c>
      <c r="E18" s="6">
        <f t="shared" si="7"/>
        <v>3703.7037037037035</v>
      </c>
      <c r="F18" s="13">
        <f t="shared" si="7"/>
        <v>4687.5</v>
      </c>
      <c r="G18" s="13">
        <f t="shared" si="7"/>
        <v>3703.7037037037035</v>
      </c>
      <c r="H18" s="6">
        <f t="shared" si="7"/>
        <v>3000</v>
      </c>
      <c r="I18" s="13">
        <f t="shared" si="7"/>
        <v>4687.5</v>
      </c>
      <c r="J18" s="13">
        <f t="shared" si="7"/>
        <v>3703.7037037037035</v>
      </c>
      <c r="K18" s="13">
        <f t="shared" si="7"/>
        <v>3000</v>
      </c>
      <c r="L18" s="13">
        <f t="shared" si="7"/>
        <v>4687.5</v>
      </c>
      <c r="M18" s="13">
        <f t="shared" si="7"/>
        <v>3703.7037037037035</v>
      </c>
      <c r="N18" s="13">
        <f t="shared" si="7"/>
        <v>3000</v>
      </c>
      <c r="O18" s="13">
        <f t="shared" si="7"/>
        <v>4687.5</v>
      </c>
      <c r="P18" s="13">
        <f t="shared" si="7"/>
        <v>3703.7037037037035</v>
      </c>
      <c r="Q18" s="13">
        <f t="shared" si="7"/>
        <v>3000</v>
      </c>
      <c r="R18" s="13">
        <f t="shared" si="7"/>
        <v>4687.5</v>
      </c>
      <c r="S18" s="13">
        <f t="shared" si="7"/>
        <v>3703.7037037037035</v>
      </c>
      <c r="T18" s="13">
        <f t="shared" si="7"/>
        <v>3000</v>
      </c>
      <c r="U18" s="13">
        <f t="shared" si="7"/>
        <v>4687.5</v>
      </c>
      <c r="V18" s="13">
        <f t="shared" si="7"/>
        <v>3703.7037037037035</v>
      </c>
      <c r="W18" s="13">
        <f t="shared" si="7"/>
        <v>3000</v>
      </c>
      <c r="X18" s="13">
        <f t="shared" si="7"/>
        <v>4687.5</v>
      </c>
      <c r="Y18" s="13">
        <f t="shared" si="7"/>
        <v>3703.7037037037035</v>
      </c>
      <c r="Z18" s="13">
        <f t="shared" si="7"/>
        <v>3000</v>
      </c>
      <c r="AA18" s="13">
        <f t="shared" si="7"/>
        <v>4687.5</v>
      </c>
      <c r="AB18" s="13">
        <f t="shared" si="7"/>
        <v>3703.7037037037035</v>
      </c>
      <c r="AC18" s="13">
        <f t="shared" si="7"/>
        <v>3000</v>
      </c>
      <c r="AD18" s="13">
        <f t="shared" si="7"/>
        <v>4687.5</v>
      </c>
      <c r="AE18" s="13">
        <f t="shared" si="7"/>
        <v>3703.7037037037035</v>
      </c>
      <c r="AF18" s="13">
        <f t="shared" si="7"/>
        <v>3000</v>
      </c>
      <c r="AG18" s="13">
        <f t="shared" si="7"/>
        <v>4687.5</v>
      </c>
      <c r="AH18" s="13">
        <f t="shared" si="7"/>
        <v>3703.7037037037035</v>
      </c>
      <c r="AI18" s="13">
        <f t="shared" si="7"/>
        <v>3000</v>
      </c>
    </row>
    <row r="19" spans="1:35" x14ac:dyDescent="0.35">
      <c r="A19" s="28" t="s">
        <v>46</v>
      </c>
      <c r="B19" s="8">
        <v>200</v>
      </c>
      <c r="C19" s="28" t="s">
        <v>54</v>
      </c>
      <c r="D19" s="11">
        <v>3000</v>
      </c>
      <c r="E19" s="11">
        <v>2400</v>
      </c>
      <c r="F19" s="10">
        <v>2800</v>
      </c>
      <c r="G19" s="10">
        <v>2300</v>
      </c>
      <c r="H19" s="11">
        <v>1800</v>
      </c>
      <c r="I19" s="10">
        <v>2600</v>
      </c>
      <c r="J19" s="10">
        <v>2200</v>
      </c>
      <c r="K19" s="10">
        <v>1750</v>
      </c>
      <c r="L19" s="10">
        <v>2500</v>
      </c>
      <c r="M19" s="10">
        <v>2100</v>
      </c>
      <c r="N19" s="10">
        <v>1700</v>
      </c>
      <c r="O19" s="10">
        <v>2400</v>
      </c>
      <c r="P19" s="10">
        <v>2000</v>
      </c>
      <c r="Q19" s="10">
        <v>1600</v>
      </c>
      <c r="R19" s="10">
        <v>2300</v>
      </c>
      <c r="S19" s="10">
        <v>1900</v>
      </c>
      <c r="T19" s="10">
        <v>1550</v>
      </c>
      <c r="U19" s="10">
        <v>2150</v>
      </c>
      <c r="V19" s="10">
        <v>1800</v>
      </c>
      <c r="W19" s="10">
        <v>1400</v>
      </c>
      <c r="X19" s="10">
        <v>1900</v>
      </c>
      <c r="Y19" s="10">
        <v>1700</v>
      </c>
      <c r="Z19" s="10">
        <v>1300</v>
      </c>
      <c r="AA19" s="10">
        <v>1800</v>
      </c>
      <c r="AB19" s="10">
        <v>1600</v>
      </c>
      <c r="AC19" s="10">
        <v>1200</v>
      </c>
      <c r="AD19" s="10">
        <v>1700</v>
      </c>
      <c r="AE19" s="10">
        <v>1400</v>
      </c>
      <c r="AF19" s="10">
        <v>1100</v>
      </c>
      <c r="AG19" s="10">
        <v>1500</v>
      </c>
      <c r="AH19" s="10">
        <v>1300</v>
      </c>
      <c r="AI19" s="10">
        <v>1000</v>
      </c>
    </row>
    <row r="21" spans="1:35" ht="21" x14ac:dyDescent="0.5">
      <c r="A21" s="9" t="s">
        <v>28</v>
      </c>
      <c r="B21" s="8"/>
      <c r="C21" s="7"/>
      <c r="D21" s="8"/>
      <c r="E21" s="8"/>
      <c r="F21" s="8"/>
      <c r="G21" s="8"/>
      <c r="H21" s="7"/>
    </row>
    <row r="22" spans="1:35" x14ac:dyDescent="0.35">
      <c r="A22" s="28" t="s">
        <v>39</v>
      </c>
      <c r="B22" s="8">
        <v>0.38</v>
      </c>
      <c r="C22" s="29" t="s">
        <v>48</v>
      </c>
      <c r="D22" s="64">
        <v>50</v>
      </c>
      <c r="E22" s="67"/>
      <c r="F22" s="64">
        <v>60</v>
      </c>
      <c r="G22" s="67"/>
      <c r="H22" s="64">
        <v>70</v>
      </c>
      <c r="I22" s="65"/>
      <c r="J22" s="65"/>
      <c r="K22" s="64">
        <v>80</v>
      </c>
      <c r="L22" s="65"/>
      <c r="M22" s="65"/>
      <c r="N22" s="64">
        <v>90</v>
      </c>
      <c r="O22" s="65"/>
      <c r="P22" s="65"/>
      <c r="Q22" s="64">
        <v>100</v>
      </c>
      <c r="R22" s="65"/>
      <c r="S22" s="65"/>
      <c r="T22" s="64">
        <v>120</v>
      </c>
      <c r="U22" s="65"/>
      <c r="V22" s="65"/>
      <c r="W22" s="64">
        <v>140</v>
      </c>
      <c r="X22" s="67"/>
      <c r="Y22" s="64">
        <v>160</v>
      </c>
      <c r="Z22" s="67"/>
      <c r="AA22" s="64">
        <v>180</v>
      </c>
      <c r="AB22" s="67"/>
      <c r="AC22" s="64">
        <v>200</v>
      </c>
      <c r="AD22" s="65"/>
    </row>
    <row r="23" spans="1:35" x14ac:dyDescent="0.35">
      <c r="A23" s="28" t="s">
        <v>40</v>
      </c>
      <c r="B23" s="8">
        <v>1.2</v>
      </c>
      <c r="C23" s="28" t="s">
        <v>57</v>
      </c>
      <c r="D23" s="10">
        <v>160</v>
      </c>
      <c r="E23" s="10">
        <v>180</v>
      </c>
      <c r="F23" s="10">
        <v>180</v>
      </c>
      <c r="G23" s="10">
        <v>200</v>
      </c>
      <c r="H23" s="10">
        <v>180</v>
      </c>
      <c r="I23" s="10">
        <v>200</v>
      </c>
      <c r="J23" s="10">
        <v>250</v>
      </c>
      <c r="K23" s="10">
        <v>200</v>
      </c>
      <c r="L23" s="10">
        <v>220</v>
      </c>
      <c r="M23" s="10">
        <v>250</v>
      </c>
      <c r="N23" s="10">
        <v>200</v>
      </c>
      <c r="O23" s="10">
        <v>250</v>
      </c>
      <c r="P23" s="10">
        <v>300</v>
      </c>
      <c r="Q23" s="10">
        <v>200</v>
      </c>
      <c r="R23" s="10">
        <v>250</v>
      </c>
      <c r="S23" s="10">
        <v>300</v>
      </c>
      <c r="T23" s="10">
        <v>200</v>
      </c>
      <c r="U23" s="10">
        <v>250</v>
      </c>
      <c r="V23" s="10">
        <v>300</v>
      </c>
      <c r="W23" s="10">
        <v>200</v>
      </c>
      <c r="X23" s="10">
        <v>250</v>
      </c>
      <c r="Y23" s="10">
        <v>200</v>
      </c>
      <c r="Z23" s="10">
        <v>250</v>
      </c>
      <c r="AA23" s="10">
        <v>200</v>
      </c>
      <c r="AB23" s="10">
        <v>250</v>
      </c>
      <c r="AC23" s="10">
        <v>200</v>
      </c>
      <c r="AD23" s="10">
        <v>250</v>
      </c>
    </row>
    <row r="24" spans="1:35" x14ac:dyDescent="0.35">
      <c r="A24" s="28" t="s">
        <v>41</v>
      </c>
      <c r="B24" s="8">
        <v>120</v>
      </c>
      <c r="C24" s="28" t="s">
        <v>58</v>
      </c>
      <c r="D24" s="10">
        <v>160</v>
      </c>
      <c r="E24" s="10">
        <v>180</v>
      </c>
      <c r="F24" s="10">
        <v>180</v>
      </c>
      <c r="G24" s="10">
        <v>200</v>
      </c>
      <c r="H24" s="10">
        <v>180</v>
      </c>
      <c r="I24" s="10">
        <v>200</v>
      </c>
      <c r="J24" s="10">
        <v>250</v>
      </c>
      <c r="K24" s="10">
        <v>200</v>
      </c>
      <c r="L24" s="10">
        <v>220</v>
      </c>
      <c r="M24" s="10">
        <v>250</v>
      </c>
      <c r="N24" s="10">
        <v>200</v>
      </c>
      <c r="O24" s="10">
        <v>250</v>
      </c>
      <c r="P24" s="10">
        <v>300</v>
      </c>
      <c r="Q24" s="10">
        <v>200</v>
      </c>
      <c r="R24" s="10">
        <v>250</v>
      </c>
      <c r="S24" s="10">
        <v>300</v>
      </c>
      <c r="T24" s="10">
        <v>200</v>
      </c>
      <c r="U24" s="10">
        <v>250</v>
      </c>
      <c r="V24" s="10">
        <v>300</v>
      </c>
      <c r="W24" s="10">
        <v>200</v>
      </c>
      <c r="X24" s="10">
        <v>250</v>
      </c>
      <c r="Y24" s="10">
        <v>200</v>
      </c>
      <c r="Z24" s="10">
        <v>250</v>
      </c>
      <c r="AA24" s="10">
        <v>200</v>
      </c>
      <c r="AB24" s="10">
        <v>250</v>
      </c>
      <c r="AC24" s="10">
        <v>200</v>
      </c>
      <c r="AD24" s="10">
        <v>250</v>
      </c>
    </row>
    <row r="25" spans="1:35" x14ac:dyDescent="0.35">
      <c r="A25" s="28" t="s">
        <v>42</v>
      </c>
      <c r="B25" s="8">
        <v>65</v>
      </c>
      <c r="C25" s="28" t="s">
        <v>50</v>
      </c>
      <c r="D25" s="22">
        <f t="shared" ref="D25:AD25" si="8">(1000/D23)*(1000/D24)</f>
        <v>39.0625</v>
      </c>
      <c r="E25" s="22">
        <f t="shared" si="8"/>
        <v>30.864197530864196</v>
      </c>
      <c r="F25" s="22">
        <f t="shared" si="8"/>
        <v>30.864197530864196</v>
      </c>
      <c r="G25" s="22">
        <f t="shared" si="8"/>
        <v>25</v>
      </c>
      <c r="H25" s="22">
        <f t="shared" si="8"/>
        <v>30.864197530864196</v>
      </c>
      <c r="I25" s="22">
        <f t="shared" si="8"/>
        <v>25</v>
      </c>
      <c r="J25" s="22">
        <f t="shared" si="8"/>
        <v>16</v>
      </c>
      <c r="K25" s="22">
        <f t="shared" si="8"/>
        <v>25</v>
      </c>
      <c r="L25" s="22">
        <f t="shared" si="8"/>
        <v>20.661157024793393</v>
      </c>
      <c r="M25" s="22">
        <f t="shared" si="8"/>
        <v>16</v>
      </c>
      <c r="N25" s="22">
        <f t="shared" si="8"/>
        <v>25</v>
      </c>
      <c r="O25" s="22">
        <f t="shared" si="8"/>
        <v>16</v>
      </c>
      <c r="P25" s="22">
        <f t="shared" si="8"/>
        <v>11.111111111111112</v>
      </c>
      <c r="Q25" s="22">
        <f t="shared" si="8"/>
        <v>25</v>
      </c>
      <c r="R25" s="22">
        <f t="shared" si="8"/>
        <v>16</v>
      </c>
      <c r="S25" s="22">
        <f t="shared" si="8"/>
        <v>11.111111111111112</v>
      </c>
      <c r="T25" s="22">
        <f t="shared" si="8"/>
        <v>25</v>
      </c>
      <c r="U25" s="22">
        <f t="shared" si="8"/>
        <v>16</v>
      </c>
      <c r="V25" s="22">
        <f t="shared" si="8"/>
        <v>11.111111111111112</v>
      </c>
      <c r="W25" s="22">
        <f t="shared" si="8"/>
        <v>25</v>
      </c>
      <c r="X25" s="22">
        <f t="shared" si="8"/>
        <v>16</v>
      </c>
      <c r="Y25" s="22">
        <f t="shared" si="8"/>
        <v>25</v>
      </c>
      <c r="Z25" s="22">
        <f t="shared" si="8"/>
        <v>16</v>
      </c>
      <c r="AA25" s="22">
        <f t="shared" si="8"/>
        <v>25</v>
      </c>
      <c r="AB25" s="22">
        <f t="shared" si="8"/>
        <v>16</v>
      </c>
      <c r="AC25" s="22">
        <f t="shared" si="8"/>
        <v>25</v>
      </c>
      <c r="AD25" s="22">
        <f t="shared" si="8"/>
        <v>16</v>
      </c>
    </row>
    <row r="26" spans="1:35" x14ac:dyDescent="0.35">
      <c r="A26" s="28" t="s">
        <v>43</v>
      </c>
      <c r="B26" s="8">
        <v>160</v>
      </c>
      <c r="C26" s="28" t="s">
        <v>51</v>
      </c>
      <c r="D26" s="18">
        <f>D25*$B$22</f>
        <v>14.84375</v>
      </c>
      <c r="E26" s="18">
        <f t="shared" ref="E26:AD26" si="9">E25*$B$22</f>
        <v>11.728395061728394</v>
      </c>
      <c r="F26" s="18">
        <f t="shared" si="9"/>
        <v>11.728395061728394</v>
      </c>
      <c r="G26" s="18">
        <f t="shared" si="9"/>
        <v>9.5</v>
      </c>
      <c r="H26" s="18">
        <f t="shared" si="9"/>
        <v>11.728395061728394</v>
      </c>
      <c r="I26" s="18">
        <f t="shared" si="9"/>
        <v>9.5</v>
      </c>
      <c r="J26" s="18">
        <f t="shared" si="9"/>
        <v>6.08</v>
      </c>
      <c r="K26" s="18">
        <f t="shared" si="9"/>
        <v>9.5</v>
      </c>
      <c r="L26" s="18">
        <f t="shared" si="9"/>
        <v>7.8512396694214894</v>
      </c>
      <c r="M26" s="18">
        <f t="shared" si="9"/>
        <v>6.08</v>
      </c>
      <c r="N26" s="18">
        <f t="shared" si="9"/>
        <v>9.5</v>
      </c>
      <c r="O26" s="18">
        <f t="shared" si="9"/>
        <v>6.08</v>
      </c>
      <c r="P26" s="18">
        <f t="shared" si="9"/>
        <v>4.2222222222222232</v>
      </c>
      <c r="Q26" s="18">
        <f t="shared" si="9"/>
        <v>9.5</v>
      </c>
      <c r="R26" s="18">
        <f t="shared" si="9"/>
        <v>6.08</v>
      </c>
      <c r="S26" s="18">
        <f t="shared" si="9"/>
        <v>4.2222222222222232</v>
      </c>
      <c r="T26" s="18">
        <f t="shared" si="9"/>
        <v>9.5</v>
      </c>
      <c r="U26" s="18">
        <f t="shared" si="9"/>
        <v>6.08</v>
      </c>
      <c r="V26" s="18">
        <f t="shared" si="9"/>
        <v>4.2222222222222232</v>
      </c>
      <c r="W26" s="18">
        <f t="shared" si="9"/>
        <v>9.5</v>
      </c>
      <c r="X26" s="18">
        <f t="shared" si="9"/>
        <v>6.08</v>
      </c>
      <c r="Y26" s="18">
        <f t="shared" si="9"/>
        <v>9.5</v>
      </c>
      <c r="Z26" s="18">
        <f t="shared" si="9"/>
        <v>6.08</v>
      </c>
      <c r="AA26" s="18">
        <f t="shared" si="9"/>
        <v>9.5</v>
      </c>
      <c r="AB26" s="18">
        <f t="shared" si="9"/>
        <v>6.08</v>
      </c>
      <c r="AC26" s="18">
        <f t="shared" si="9"/>
        <v>9.5</v>
      </c>
      <c r="AD26" s="18">
        <f t="shared" si="9"/>
        <v>6.08</v>
      </c>
    </row>
    <row r="27" spans="1:35" x14ac:dyDescent="0.35">
      <c r="A27" s="28" t="s">
        <v>44</v>
      </c>
      <c r="B27" s="8">
        <v>5</v>
      </c>
      <c r="C27" s="28" t="s">
        <v>52</v>
      </c>
      <c r="D27" s="18">
        <f t="shared" ref="D27:AD27" si="10">D25*$B23</f>
        <v>46.875</v>
      </c>
      <c r="E27" s="18">
        <f t="shared" si="10"/>
        <v>37.037037037037031</v>
      </c>
      <c r="F27" s="18">
        <f t="shared" si="10"/>
        <v>37.037037037037031</v>
      </c>
      <c r="G27" s="18">
        <f t="shared" si="10"/>
        <v>30</v>
      </c>
      <c r="H27" s="18">
        <f t="shared" si="10"/>
        <v>37.037037037037031</v>
      </c>
      <c r="I27" s="18">
        <f t="shared" si="10"/>
        <v>30</v>
      </c>
      <c r="J27" s="18">
        <f t="shared" si="10"/>
        <v>19.2</v>
      </c>
      <c r="K27" s="18">
        <f t="shared" si="10"/>
        <v>30</v>
      </c>
      <c r="L27" s="18">
        <f t="shared" si="10"/>
        <v>24.793388429752071</v>
      </c>
      <c r="M27" s="18">
        <f t="shared" si="10"/>
        <v>19.2</v>
      </c>
      <c r="N27" s="18">
        <f t="shared" si="10"/>
        <v>30</v>
      </c>
      <c r="O27" s="18">
        <f t="shared" si="10"/>
        <v>19.2</v>
      </c>
      <c r="P27" s="18">
        <f t="shared" si="10"/>
        <v>13.333333333333334</v>
      </c>
      <c r="Q27" s="18">
        <f t="shared" si="10"/>
        <v>30</v>
      </c>
      <c r="R27" s="18">
        <f t="shared" si="10"/>
        <v>19.2</v>
      </c>
      <c r="S27" s="18">
        <f t="shared" si="10"/>
        <v>13.333333333333334</v>
      </c>
      <c r="T27" s="18">
        <f t="shared" si="10"/>
        <v>30</v>
      </c>
      <c r="U27" s="18">
        <f t="shared" si="10"/>
        <v>19.2</v>
      </c>
      <c r="V27" s="18">
        <f t="shared" si="10"/>
        <v>13.333333333333334</v>
      </c>
      <c r="W27" s="18">
        <f t="shared" si="10"/>
        <v>30</v>
      </c>
      <c r="X27" s="18">
        <f t="shared" si="10"/>
        <v>19.2</v>
      </c>
      <c r="Y27" s="18">
        <f t="shared" si="10"/>
        <v>30</v>
      </c>
      <c r="Z27" s="18">
        <f t="shared" si="10"/>
        <v>19.2</v>
      </c>
      <c r="AA27" s="18">
        <f t="shared" si="10"/>
        <v>30</v>
      </c>
      <c r="AB27" s="18">
        <f t="shared" si="10"/>
        <v>19.2</v>
      </c>
      <c r="AC27" s="18">
        <f t="shared" si="10"/>
        <v>30</v>
      </c>
      <c r="AD27" s="18">
        <f t="shared" si="10"/>
        <v>19.2</v>
      </c>
    </row>
    <row r="28" spans="1:35" x14ac:dyDescent="0.35">
      <c r="A28" s="28" t="s">
        <v>45</v>
      </c>
      <c r="B28" s="8">
        <v>6500</v>
      </c>
      <c r="C28" s="28" t="s">
        <v>53</v>
      </c>
      <c r="D28" s="13">
        <f t="shared" ref="D28:AD28" si="11">D25*$B24</f>
        <v>4687.5</v>
      </c>
      <c r="E28" s="13">
        <f t="shared" si="11"/>
        <v>3703.7037037037035</v>
      </c>
      <c r="F28" s="13">
        <f t="shared" si="11"/>
        <v>3703.7037037037035</v>
      </c>
      <c r="G28" s="13">
        <f t="shared" si="11"/>
        <v>3000</v>
      </c>
      <c r="H28" s="13">
        <f t="shared" si="11"/>
        <v>3703.7037037037035</v>
      </c>
      <c r="I28" s="13">
        <f t="shared" si="11"/>
        <v>3000</v>
      </c>
      <c r="J28" s="13">
        <f t="shared" si="11"/>
        <v>1920</v>
      </c>
      <c r="K28" s="13">
        <f t="shared" si="11"/>
        <v>3000</v>
      </c>
      <c r="L28" s="13">
        <f t="shared" si="11"/>
        <v>2479.3388429752072</v>
      </c>
      <c r="M28" s="13">
        <f t="shared" si="11"/>
        <v>1920</v>
      </c>
      <c r="N28" s="13">
        <f t="shared" si="11"/>
        <v>3000</v>
      </c>
      <c r="O28" s="13">
        <f t="shared" si="11"/>
        <v>1920</v>
      </c>
      <c r="P28" s="13">
        <f t="shared" si="11"/>
        <v>1333.3333333333335</v>
      </c>
      <c r="Q28" s="13">
        <f t="shared" si="11"/>
        <v>3000</v>
      </c>
      <c r="R28" s="13">
        <f t="shared" si="11"/>
        <v>1920</v>
      </c>
      <c r="S28" s="13">
        <f t="shared" si="11"/>
        <v>1333.3333333333335</v>
      </c>
      <c r="T28" s="13">
        <f t="shared" si="11"/>
        <v>3000</v>
      </c>
      <c r="U28" s="13">
        <f t="shared" si="11"/>
        <v>1920</v>
      </c>
      <c r="V28" s="13">
        <f t="shared" si="11"/>
        <v>1333.3333333333335</v>
      </c>
      <c r="W28" s="13">
        <f t="shared" si="11"/>
        <v>3000</v>
      </c>
      <c r="X28" s="13">
        <f t="shared" si="11"/>
        <v>1920</v>
      </c>
      <c r="Y28" s="13">
        <f t="shared" si="11"/>
        <v>3000</v>
      </c>
      <c r="Z28" s="13">
        <f t="shared" si="11"/>
        <v>1920</v>
      </c>
      <c r="AA28" s="13">
        <f t="shared" si="11"/>
        <v>3000</v>
      </c>
      <c r="AB28" s="13">
        <f t="shared" si="11"/>
        <v>1920</v>
      </c>
      <c r="AC28" s="13">
        <f t="shared" si="11"/>
        <v>3000</v>
      </c>
      <c r="AD28" s="13">
        <f t="shared" si="11"/>
        <v>1920</v>
      </c>
    </row>
    <row r="29" spans="1:35" x14ac:dyDescent="0.35">
      <c r="A29" s="28" t="s">
        <v>46</v>
      </c>
      <c r="B29" s="8">
        <v>300</v>
      </c>
      <c r="C29" s="28" t="s">
        <v>54</v>
      </c>
      <c r="D29" s="10">
        <v>3700</v>
      </c>
      <c r="E29" s="10">
        <v>2850</v>
      </c>
      <c r="F29" s="10">
        <v>2800</v>
      </c>
      <c r="G29" s="10">
        <v>2350</v>
      </c>
      <c r="H29" s="10">
        <v>2750</v>
      </c>
      <c r="I29" s="10">
        <v>2300</v>
      </c>
      <c r="J29" s="10">
        <v>1600</v>
      </c>
      <c r="K29" s="10">
        <v>2250</v>
      </c>
      <c r="L29" s="10">
        <v>1800</v>
      </c>
      <c r="M29" s="10">
        <v>1450</v>
      </c>
      <c r="N29" s="10">
        <v>2200</v>
      </c>
      <c r="O29" s="10">
        <v>1350</v>
      </c>
      <c r="P29" s="10">
        <v>900</v>
      </c>
      <c r="Q29" s="10">
        <v>2100</v>
      </c>
      <c r="R29" s="10">
        <v>1300</v>
      </c>
      <c r="S29" s="10">
        <v>850</v>
      </c>
      <c r="T29" s="10">
        <v>2050</v>
      </c>
      <c r="U29" s="10">
        <v>1200</v>
      </c>
      <c r="V29" s="10">
        <v>750</v>
      </c>
      <c r="W29" s="10">
        <v>1800</v>
      </c>
      <c r="X29" s="10">
        <v>1100</v>
      </c>
      <c r="Y29" s="10">
        <v>1650</v>
      </c>
      <c r="Z29" s="10">
        <v>1000</v>
      </c>
      <c r="AA29" s="10">
        <v>1550</v>
      </c>
      <c r="AB29" s="10">
        <v>900</v>
      </c>
      <c r="AC29" s="10">
        <v>1450</v>
      </c>
      <c r="AD29" s="10">
        <v>800</v>
      </c>
    </row>
    <row r="31" spans="1:35" ht="21" x14ac:dyDescent="0.5">
      <c r="A31" s="9" t="s">
        <v>9</v>
      </c>
      <c r="B31" s="8"/>
      <c r="C31" s="7"/>
      <c r="D31" s="8"/>
      <c r="E31" s="8"/>
      <c r="F31" s="8"/>
      <c r="G31" s="8"/>
      <c r="H31" s="7"/>
    </row>
    <row r="32" spans="1:35" x14ac:dyDescent="0.35">
      <c r="A32" s="28" t="s">
        <v>39</v>
      </c>
      <c r="B32" s="8">
        <v>0.28999999999999998</v>
      </c>
      <c r="C32" s="29" t="s">
        <v>48</v>
      </c>
      <c r="D32" s="12">
        <v>50</v>
      </c>
      <c r="E32" s="64">
        <v>60</v>
      </c>
      <c r="F32" s="67"/>
      <c r="G32" s="64">
        <v>70</v>
      </c>
      <c r="H32" s="65"/>
      <c r="I32" s="67"/>
      <c r="J32" s="64">
        <v>80</v>
      </c>
      <c r="K32" s="65"/>
      <c r="L32" s="67"/>
      <c r="M32" s="64">
        <v>90</v>
      </c>
      <c r="N32" s="65"/>
      <c r="O32" s="67"/>
      <c r="P32" s="64">
        <v>100</v>
      </c>
      <c r="Q32" s="65"/>
      <c r="R32" s="67"/>
      <c r="S32" s="64">
        <v>120</v>
      </c>
      <c r="T32" s="65"/>
      <c r="U32" s="67"/>
      <c r="V32" s="64">
        <v>140</v>
      </c>
      <c r="W32" s="67"/>
      <c r="X32" s="64">
        <v>160</v>
      </c>
      <c r="Y32" s="67"/>
      <c r="Z32" s="64">
        <v>180</v>
      </c>
      <c r="AA32" s="67"/>
      <c r="AB32" s="64">
        <v>200</v>
      </c>
      <c r="AC32" s="67"/>
      <c r="AD32" s="64">
        <v>250</v>
      </c>
      <c r="AE32" s="67"/>
      <c r="AF32" s="64">
        <v>300</v>
      </c>
      <c r="AG32" s="67"/>
    </row>
    <row r="33" spans="1:40" x14ac:dyDescent="0.35">
      <c r="A33" s="28" t="s">
        <v>40</v>
      </c>
      <c r="B33" s="8">
        <v>2</v>
      </c>
      <c r="C33" s="28" t="s">
        <v>57</v>
      </c>
      <c r="D33" s="10">
        <v>200</v>
      </c>
      <c r="E33" s="10">
        <v>200</v>
      </c>
      <c r="F33" s="10">
        <v>250</v>
      </c>
      <c r="G33" s="10">
        <v>200</v>
      </c>
      <c r="H33" s="10">
        <v>250</v>
      </c>
      <c r="I33" s="10">
        <v>300</v>
      </c>
      <c r="J33" s="10">
        <v>200</v>
      </c>
      <c r="K33" s="10">
        <v>250</v>
      </c>
      <c r="L33" s="10">
        <v>300</v>
      </c>
      <c r="M33" s="10">
        <v>200</v>
      </c>
      <c r="N33" s="10">
        <v>250</v>
      </c>
      <c r="O33" s="10">
        <v>300</v>
      </c>
      <c r="P33" s="10">
        <v>200</v>
      </c>
      <c r="Q33" s="10">
        <v>250</v>
      </c>
      <c r="R33" s="10">
        <v>300</v>
      </c>
      <c r="S33" s="10">
        <v>200</v>
      </c>
      <c r="T33" s="10">
        <v>250</v>
      </c>
      <c r="U33" s="10">
        <v>300</v>
      </c>
      <c r="V33" s="10">
        <v>200</v>
      </c>
      <c r="W33" s="10">
        <v>250</v>
      </c>
      <c r="X33" s="10">
        <v>200</v>
      </c>
      <c r="Y33" s="10">
        <v>250</v>
      </c>
      <c r="Z33" s="10">
        <v>200</v>
      </c>
      <c r="AA33" s="10">
        <v>250</v>
      </c>
      <c r="AB33" s="10">
        <v>200</v>
      </c>
      <c r="AC33" s="10">
        <v>250</v>
      </c>
      <c r="AD33" s="10">
        <v>200</v>
      </c>
      <c r="AE33" s="10">
        <v>250</v>
      </c>
      <c r="AF33" s="10">
        <v>200</v>
      </c>
      <c r="AG33" s="10">
        <v>250</v>
      </c>
    </row>
    <row r="34" spans="1:40" x14ac:dyDescent="0.35">
      <c r="A34" s="28" t="s">
        <v>41</v>
      </c>
      <c r="B34" s="8">
        <v>200</v>
      </c>
      <c r="C34" s="28" t="s">
        <v>58</v>
      </c>
      <c r="D34" s="10">
        <v>200</v>
      </c>
      <c r="E34" s="10">
        <v>200</v>
      </c>
      <c r="F34" s="10">
        <v>250</v>
      </c>
      <c r="G34" s="10">
        <v>200</v>
      </c>
      <c r="H34" s="10">
        <v>250</v>
      </c>
      <c r="I34" s="10">
        <v>300</v>
      </c>
      <c r="J34" s="10">
        <v>200</v>
      </c>
      <c r="K34" s="10">
        <v>250</v>
      </c>
      <c r="L34" s="10">
        <v>300</v>
      </c>
      <c r="M34" s="10">
        <v>200</v>
      </c>
      <c r="N34" s="10">
        <v>250</v>
      </c>
      <c r="O34" s="10">
        <v>300</v>
      </c>
      <c r="P34" s="10">
        <v>200</v>
      </c>
      <c r="Q34" s="10">
        <v>250</v>
      </c>
      <c r="R34" s="10">
        <v>300</v>
      </c>
      <c r="S34" s="10">
        <v>200</v>
      </c>
      <c r="T34" s="10">
        <v>250</v>
      </c>
      <c r="U34" s="10">
        <v>300</v>
      </c>
      <c r="V34" s="10">
        <v>200</v>
      </c>
      <c r="W34" s="10">
        <v>250</v>
      </c>
      <c r="X34" s="10">
        <v>200</v>
      </c>
      <c r="Y34" s="10">
        <v>250</v>
      </c>
      <c r="Z34" s="10">
        <v>200</v>
      </c>
      <c r="AA34" s="10">
        <v>250</v>
      </c>
      <c r="AB34" s="10">
        <v>200</v>
      </c>
      <c r="AC34" s="10">
        <v>250</v>
      </c>
      <c r="AD34" s="10">
        <v>200</v>
      </c>
      <c r="AE34" s="10">
        <v>250</v>
      </c>
      <c r="AF34" s="10">
        <v>200</v>
      </c>
      <c r="AG34" s="10">
        <v>250</v>
      </c>
    </row>
    <row r="35" spans="1:40" x14ac:dyDescent="0.35">
      <c r="A35" s="28" t="s">
        <v>42</v>
      </c>
      <c r="B35" s="8">
        <v>65</v>
      </c>
      <c r="C35" s="28" t="s">
        <v>50</v>
      </c>
      <c r="D35" s="22">
        <f>(1000/D33)*(1000/D34)</f>
        <v>25</v>
      </c>
      <c r="E35" s="22">
        <f t="shared" ref="E35:AG35" si="12">(1000/E33)*(1000/E34)</f>
        <v>25</v>
      </c>
      <c r="F35" s="22">
        <f t="shared" si="12"/>
        <v>16</v>
      </c>
      <c r="G35" s="22">
        <f t="shared" si="12"/>
        <v>25</v>
      </c>
      <c r="H35" s="22">
        <f t="shared" si="12"/>
        <v>16</v>
      </c>
      <c r="I35" s="22">
        <f t="shared" si="12"/>
        <v>11.111111111111112</v>
      </c>
      <c r="J35" s="22">
        <f t="shared" si="12"/>
        <v>25</v>
      </c>
      <c r="K35" s="22">
        <f t="shared" si="12"/>
        <v>16</v>
      </c>
      <c r="L35" s="22">
        <f t="shared" si="12"/>
        <v>11.111111111111112</v>
      </c>
      <c r="M35" s="22">
        <f t="shared" si="12"/>
        <v>25</v>
      </c>
      <c r="N35" s="22">
        <f t="shared" si="12"/>
        <v>16</v>
      </c>
      <c r="O35" s="22">
        <f t="shared" si="12"/>
        <v>11.111111111111112</v>
      </c>
      <c r="P35" s="22">
        <f t="shared" si="12"/>
        <v>25</v>
      </c>
      <c r="Q35" s="22">
        <f t="shared" si="12"/>
        <v>16</v>
      </c>
      <c r="R35" s="22">
        <f t="shared" si="12"/>
        <v>11.111111111111112</v>
      </c>
      <c r="S35" s="22">
        <f t="shared" si="12"/>
        <v>25</v>
      </c>
      <c r="T35" s="22">
        <f t="shared" si="12"/>
        <v>16</v>
      </c>
      <c r="U35" s="22">
        <f t="shared" si="12"/>
        <v>11.111111111111112</v>
      </c>
      <c r="V35" s="22">
        <f t="shared" si="12"/>
        <v>25</v>
      </c>
      <c r="W35" s="22">
        <f t="shared" si="12"/>
        <v>16</v>
      </c>
      <c r="X35" s="22">
        <f t="shared" si="12"/>
        <v>25</v>
      </c>
      <c r="Y35" s="22">
        <f t="shared" si="12"/>
        <v>16</v>
      </c>
      <c r="Z35" s="22">
        <f t="shared" si="12"/>
        <v>25</v>
      </c>
      <c r="AA35" s="22">
        <f t="shared" si="12"/>
        <v>16</v>
      </c>
      <c r="AB35" s="22">
        <f t="shared" si="12"/>
        <v>25</v>
      </c>
      <c r="AC35" s="22">
        <f t="shared" si="12"/>
        <v>16</v>
      </c>
      <c r="AD35" s="22">
        <f t="shared" si="12"/>
        <v>25</v>
      </c>
      <c r="AE35" s="22">
        <f t="shared" si="12"/>
        <v>16</v>
      </c>
      <c r="AF35" s="22">
        <f t="shared" si="12"/>
        <v>25</v>
      </c>
      <c r="AG35" s="22">
        <f t="shared" si="12"/>
        <v>16</v>
      </c>
    </row>
    <row r="36" spans="1:40" x14ac:dyDescent="0.35">
      <c r="A36" s="28" t="s">
        <v>43</v>
      </c>
      <c r="B36" s="8">
        <v>160</v>
      </c>
      <c r="C36" s="28" t="s">
        <v>51</v>
      </c>
      <c r="D36" s="18">
        <f>D35*$B$32</f>
        <v>7.2499999999999991</v>
      </c>
      <c r="E36" s="18">
        <f t="shared" ref="E36:AG36" si="13">E35*$B$32</f>
        <v>7.2499999999999991</v>
      </c>
      <c r="F36" s="18">
        <f t="shared" si="13"/>
        <v>4.6399999999999997</v>
      </c>
      <c r="G36" s="18">
        <f t="shared" si="13"/>
        <v>7.2499999999999991</v>
      </c>
      <c r="H36" s="18">
        <f t="shared" si="13"/>
        <v>4.6399999999999997</v>
      </c>
      <c r="I36" s="18">
        <f t="shared" si="13"/>
        <v>3.2222222222222223</v>
      </c>
      <c r="J36" s="18">
        <f t="shared" si="13"/>
        <v>7.2499999999999991</v>
      </c>
      <c r="K36" s="18">
        <f t="shared" si="13"/>
        <v>4.6399999999999997</v>
      </c>
      <c r="L36" s="18">
        <f t="shared" si="13"/>
        <v>3.2222222222222223</v>
      </c>
      <c r="M36" s="18">
        <f t="shared" si="13"/>
        <v>7.2499999999999991</v>
      </c>
      <c r="N36" s="18">
        <f t="shared" si="13"/>
        <v>4.6399999999999997</v>
      </c>
      <c r="O36" s="18">
        <f t="shared" si="13"/>
        <v>3.2222222222222223</v>
      </c>
      <c r="P36" s="18">
        <f t="shared" si="13"/>
        <v>7.2499999999999991</v>
      </c>
      <c r="Q36" s="18">
        <f t="shared" si="13"/>
        <v>4.6399999999999997</v>
      </c>
      <c r="R36" s="18">
        <f t="shared" si="13"/>
        <v>3.2222222222222223</v>
      </c>
      <c r="S36" s="18">
        <f t="shared" si="13"/>
        <v>7.2499999999999991</v>
      </c>
      <c r="T36" s="18">
        <f t="shared" si="13"/>
        <v>4.6399999999999997</v>
      </c>
      <c r="U36" s="18">
        <f t="shared" si="13"/>
        <v>3.2222222222222223</v>
      </c>
      <c r="V36" s="18">
        <f t="shared" si="13"/>
        <v>7.2499999999999991</v>
      </c>
      <c r="W36" s="18">
        <f t="shared" si="13"/>
        <v>4.6399999999999997</v>
      </c>
      <c r="X36" s="18">
        <f t="shared" si="13"/>
        <v>7.2499999999999991</v>
      </c>
      <c r="Y36" s="18">
        <f t="shared" si="13"/>
        <v>4.6399999999999997</v>
      </c>
      <c r="Z36" s="18">
        <f t="shared" si="13"/>
        <v>7.2499999999999991</v>
      </c>
      <c r="AA36" s="18">
        <f t="shared" si="13"/>
        <v>4.6399999999999997</v>
      </c>
      <c r="AB36" s="18">
        <f t="shared" si="13"/>
        <v>7.2499999999999991</v>
      </c>
      <c r="AC36" s="18">
        <f t="shared" si="13"/>
        <v>4.6399999999999997</v>
      </c>
      <c r="AD36" s="18">
        <f t="shared" si="13"/>
        <v>7.2499999999999991</v>
      </c>
      <c r="AE36" s="18">
        <f t="shared" si="13"/>
        <v>4.6399999999999997</v>
      </c>
      <c r="AF36" s="18">
        <f t="shared" si="13"/>
        <v>7.2499999999999991</v>
      </c>
      <c r="AG36" s="18">
        <f t="shared" si="13"/>
        <v>4.6399999999999997</v>
      </c>
    </row>
    <row r="37" spans="1:40" x14ac:dyDescent="0.35">
      <c r="A37" s="28" t="s">
        <v>44</v>
      </c>
      <c r="B37" s="8">
        <v>5</v>
      </c>
      <c r="C37" s="28" t="s">
        <v>52</v>
      </c>
      <c r="D37" s="18">
        <f>D35*$B33</f>
        <v>50</v>
      </c>
      <c r="E37" s="18">
        <f t="shared" ref="E37:AG37" si="14">E35*$B33</f>
        <v>50</v>
      </c>
      <c r="F37" s="18">
        <f t="shared" si="14"/>
        <v>32</v>
      </c>
      <c r="G37" s="18">
        <f t="shared" si="14"/>
        <v>50</v>
      </c>
      <c r="H37" s="18">
        <f t="shared" si="14"/>
        <v>32</v>
      </c>
      <c r="I37" s="18">
        <f t="shared" si="14"/>
        <v>22.222222222222225</v>
      </c>
      <c r="J37" s="18">
        <f t="shared" si="14"/>
        <v>50</v>
      </c>
      <c r="K37" s="18">
        <f t="shared" si="14"/>
        <v>32</v>
      </c>
      <c r="L37" s="18">
        <f t="shared" si="14"/>
        <v>22.222222222222225</v>
      </c>
      <c r="M37" s="18">
        <f t="shared" si="14"/>
        <v>50</v>
      </c>
      <c r="N37" s="18">
        <f t="shared" si="14"/>
        <v>32</v>
      </c>
      <c r="O37" s="18">
        <f t="shared" si="14"/>
        <v>22.222222222222225</v>
      </c>
      <c r="P37" s="18">
        <f t="shared" si="14"/>
        <v>50</v>
      </c>
      <c r="Q37" s="18">
        <f t="shared" si="14"/>
        <v>32</v>
      </c>
      <c r="R37" s="18">
        <f t="shared" si="14"/>
        <v>22.222222222222225</v>
      </c>
      <c r="S37" s="18">
        <f t="shared" si="14"/>
        <v>50</v>
      </c>
      <c r="T37" s="18">
        <f t="shared" si="14"/>
        <v>32</v>
      </c>
      <c r="U37" s="18">
        <f t="shared" si="14"/>
        <v>22.222222222222225</v>
      </c>
      <c r="V37" s="18">
        <f t="shared" si="14"/>
        <v>50</v>
      </c>
      <c r="W37" s="18">
        <f t="shared" si="14"/>
        <v>32</v>
      </c>
      <c r="X37" s="18">
        <f t="shared" si="14"/>
        <v>50</v>
      </c>
      <c r="Y37" s="18">
        <f t="shared" si="14"/>
        <v>32</v>
      </c>
      <c r="Z37" s="18">
        <f t="shared" si="14"/>
        <v>50</v>
      </c>
      <c r="AA37" s="18">
        <f t="shared" si="14"/>
        <v>32</v>
      </c>
      <c r="AB37" s="18">
        <f t="shared" si="14"/>
        <v>50</v>
      </c>
      <c r="AC37" s="18">
        <f t="shared" si="14"/>
        <v>32</v>
      </c>
      <c r="AD37" s="18">
        <f t="shared" si="14"/>
        <v>50</v>
      </c>
      <c r="AE37" s="18">
        <f t="shared" si="14"/>
        <v>32</v>
      </c>
      <c r="AF37" s="18">
        <f t="shared" si="14"/>
        <v>50</v>
      </c>
      <c r="AG37" s="18">
        <f t="shared" si="14"/>
        <v>32</v>
      </c>
    </row>
    <row r="38" spans="1:40" x14ac:dyDescent="0.35">
      <c r="A38" s="28" t="s">
        <v>45</v>
      </c>
      <c r="B38" s="8">
        <v>6500</v>
      </c>
      <c r="C38" s="28" t="s">
        <v>53</v>
      </c>
      <c r="D38" s="13">
        <f>D35*$B34</f>
        <v>5000</v>
      </c>
      <c r="E38" s="13">
        <f t="shared" ref="E38:AG38" si="15">E35*$B34</f>
        <v>5000</v>
      </c>
      <c r="F38" s="13">
        <f t="shared" si="15"/>
        <v>3200</v>
      </c>
      <c r="G38" s="13">
        <f t="shared" si="15"/>
        <v>5000</v>
      </c>
      <c r="H38" s="13">
        <f t="shared" si="15"/>
        <v>3200</v>
      </c>
      <c r="I38" s="13">
        <f t="shared" si="15"/>
        <v>2222.2222222222226</v>
      </c>
      <c r="J38" s="13">
        <f t="shared" si="15"/>
        <v>5000</v>
      </c>
      <c r="K38" s="13">
        <f t="shared" si="15"/>
        <v>3200</v>
      </c>
      <c r="L38" s="13">
        <f t="shared" si="15"/>
        <v>2222.2222222222226</v>
      </c>
      <c r="M38" s="13">
        <f t="shared" si="15"/>
        <v>5000</v>
      </c>
      <c r="N38" s="13">
        <f t="shared" si="15"/>
        <v>3200</v>
      </c>
      <c r="O38" s="13">
        <f t="shared" si="15"/>
        <v>2222.2222222222226</v>
      </c>
      <c r="P38" s="13">
        <f t="shared" si="15"/>
        <v>5000</v>
      </c>
      <c r="Q38" s="13">
        <f t="shared" si="15"/>
        <v>3200</v>
      </c>
      <c r="R38" s="13">
        <f t="shared" si="15"/>
        <v>2222.2222222222226</v>
      </c>
      <c r="S38" s="13">
        <f t="shared" si="15"/>
        <v>5000</v>
      </c>
      <c r="T38" s="13">
        <f t="shared" si="15"/>
        <v>3200</v>
      </c>
      <c r="U38" s="13">
        <f t="shared" si="15"/>
        <v>2222.2222222222226</v>
      </c>
      <c r="V38" s="13">
        <f t="shared" si="15"/>
        <v>5000</v>
      </c>
      <c r="W38" s="13">
        <f t="shared" si="15"/>
        <v>3200</v>
      </c>
      <c r="X38" s="13">
        <f t="shared" si="15"/>
        <v>5000</v>
      </c>
      <c r="Y38" s="13">
        <f t="shared" si="15"/>
        <v>3200</v>
      </c>
      <c r="Z38" s="13">
        <f t="shared" si="15"/>
        <v>5000</v>
      </c>
      <c r="AA38" s="13">
        <f t="shared" si="15"/>
        <v>3200</v>
      </c>
      <c r="AB38" s="13">
        <f t="shared" si="15"/>
        <v>5000</v>
      </c>
      <c r="AC38" s="13">
        <f t="shared" si="15"/>
        <v>3200</v>
      </c>
      <c r="AD38" s="13">
        <f t="shared" si="15"/>
        <v>5000</v>
      </c>
      <c r="AE38" s="13">
        <f t="shared" si="15"/>
        <v>3200</v>
      </c>
      <c r="AF38" s="13">
        <f t="shared" si="15"/>
        <v>5000</v>
      </c>
      <c r="AG38" s="13">
        <f t="shared" si="15"/>
        <v>3200</v>
      </c>
    </row>
    <row r="39" spans="1:40" x14ac:dyDescent="0.35">
      <c r="A39" s="28" t="s">
        <v>46</v>
      </c>
      <c r="B39" s="8">
        <v>300</v>
      </c>
      <c r="C39" s="28" t="s">
        <v>54</v>
      </c>
      <c r="D39" s="10">
        <v>3100</v>
      </c>
      <c r="E39" s="10">
        <v>3000</v>
      </c>
      <c r="F39" s="10">
        <v>2000</v>
      </c>
      <c r="G39" s="10">
        <v>2900</v>
      </c>
      <c r="H39" s="10">
        <v>1900</v>
      </c>
      <c r="I39" s="10">
        <v>1300</v>
      </c>
      <c r="J39" s="10">
        <v>2800</v>
      </c>
      <c r="K39" s="10">
        <v>1800</v>
      </c>
      <c r="L39" s="10">
        <v>1250</v>
      </c>
      <c r="M39" s="10">
        <v>2700</v>
      </c>
      <c r="N39" s="10">
        <v>1700</v>
      </c>
      <c r="O39" s="10">
        <v>1200</v>
      </c>
      <c r="P39" s="10">
        <v>2600</v>
      </c>
      <c r="Q39" s="10">
        <v>1600</v>
      </c>
      <c r="R39" s="10">
        <v>1150</v>
      </c>
      <c r="S39" s="10">
        <v>2400</v>
      </c>
      <c r="T39" s="10">
        <v>1500</v>
      </c>
      <c r="U39" s="10">
        <v>1000</v>
      </c>
      <c r="V39" s="10">
        <v>2150</v>
      </c>
      <c r="W39" s="10">
        <v>1400</v>
      </c>
      <c r="X39" s="10">
        <v>2000</v>
      </c>
      <c r="Y39" s="10">
        <v>1300</v>
      </c>
      <c r="Z39" s="10">
        <v>1900</v>
      </c>
      <c r="AA39" s="10">
        <v>1250</v>
      </c>
      <c r="AB39" s="10">
        <v>1800</v>
      </c>
      <c r="AC39" s="10">
        <v>1200</v>
      </c>
      <c r="AD39" s="10">
        <v>1650</v>
      </c>
      <c r="AE39" s="10">
        <v>1100</v>
      </c>
      <c r="AF39" s="10">
        <v>1500</v>
      </c>
      <c r="AG39" s="10">
        <v>1000</v>
      </c>
    </row>
    <row r="41" spans="1:40" ht="21" x14ac:dyDescent="0.5">
      <c r="A41" s="9" t="s">
        <v>10</v>
      </c>
      <c r="B41" s="8"/>
      <c r="C41" s="7"/>
      <c r="D41" s="8"/>
      <c r="E41" s="8"/>
      <c r="F41" s="8"/>
      <c r="G41" s="8"/>
      <c r="H41" s="8"/>
      <c r="I41" s="7"/>
      <c r="J41" s="7"/>
    </row>
    <row r="42" spans="1:40" x14ac:dyDescent="0.35">
      <c r="A42" s="28" t="s">
        <v>39</v>
      </c>
      <c r="B42" s="8">
        <v>0.59</v>
      </c>
      <c r="C42" s="29" t="s">
        <v>48</v>
      </c>
      <c r="D42" s="64">
        <v>80</v>
      </c>
      <c r="E42" s="67"/>
      <c r="F42" s="64">
        <v>100</v>
      </c>
      <c r="G42" s="65"/>
      <c r="H42" s="65"/>
      <c r="I42" s="67"/>
      <c r="J42" s="64">
        <v>120</v>
      </c>
      <c r="K42" s="65"/>
      <c r="L42" s="65"/>
      <c r="M42" s="65"/>
      <c r="N42" s="67"/>
      <c r="O42" s="64">
        <v>140</v>
      </c>
      <c r="P42" s="65"/>
      <c r="Q42" s="65"/>
      <c r="R42" s="65"/>
      <c r="S42" s="67"/>
      <c r="T42" s="64">
        <v>160</v>
      </c>
      <c r="U42" s="65"/>
      <c r="V42" s="65"/>
      <c r="W42" s="65"/>
      <c r="X42" s="67"/>
      <c r="Y42" s="64">
        <v>180</v>
      </c>
      <c r="Z42" s="65"/>
      <c r="AA42" s="65"/>
      <c r="AB42" s="67"/>
      <c r="AC42" s="64">
        <v>200</v>
      </c>
      <c r="AD42" s="65"/>
      <c r="AE42" s="65"/>
      <c r="AF42" s="67"/>
      <c r="AG42" s="64">
        <v>250</v>
      </c>
      <c r="AH42" s="65"/>
      <c r="AI42" s="65"/>
      <c r="AJ42" s="67"/>
      <c r="AK42" s="64">
        <v>300</v>
      </c>
      <c r="AL42" s="65"/>
      <c r="AM42" s="65"/>
      <c r="AN42" s="67"/>
    </row>
    <row r="43" spans="1:40" x14ac:dyDescent="0.35">
      <c r="A43" s="28" t="s">
        <v>40</v>
      </c>
      <c r="B43" s="8">
        <v>4</v>
      </c>
      <c r="C43" s="28" t="s">
        <v>57</v>
      </c>
      <c r="D43" s="10">
        <v>250</v>
      </c>
      <c r="E43" s="11">
        <v>300</v>
      </c>
      <c r="F43" s="10">
        <v>250</v>
      </c>
      <c r="G43" s="10">
        <v>300</v>
      </c>
      <c r="H43" s="10">
        <v>350</v>
      </c>
      <c r="I43" s="10">
        <v>400</v>
      </c>
      <c r="J43" s="10">
        <v>250</v>
      </c>
      <c r="K43" s="10">
        <v>300</v>
      </c>
      <c r="L43" s="10">
        <v>350</v>
      </c>
      <c r="M43" s="10">
        <v>400</v>
      </c>
      <c r="N43" s="10">
        <v>500</v>
      </c>
      <c r="O43" s="10">
        <v>250</v>
      </c>
      <c r="P43" s="10">
        <v>300</v>
      </c>
      <c r="Q43" s="10">
        <v>350</v>
      </c>
      <c r="R43" s="10">
        <v>400</v>
      </c>
      <c r="S43" s="10">
        <v>500</v>
      </c>
      <c r="T43" s="10">
        <v>250</v>
      </c>
      <c r="U43" s="10">
        <v>300</v>
      </c>
      <c r="V43" s="10">
        <v>350</v>
      </c>
      <c r="W43" s="10">
        <v>400</v>
      </c>
      <c r="X43" s="10">
        <v>500</v>
      </c>
      <c r="Y43" s="10">
        <v>250</v>
      </c>
      <c r="Z43" s="10">
        <v>300</v>
      </c>
      <c r="AA43" s="10">
        <v>350</v>
      </c>
      <c r="AB43" s="10">
        <v>400</v>
      </c>
      <c r="AC43" s="10">
        <v>250</v>
      </c>
      <c r="AD43" s="10">
        <v>300</v>
      </c>
      <c r="AE43" s="10">
        <v>350</v>
      </c>
      <c r="AF43" s="10">
        <v>400</v>
      </c>
      <c r="AG43" s="10">
        <v>250</v>
      </c>
      <c r="AH43" s="10">
        <v>300</v>
      </c>
      <c r="AI43" s="10">
        <v>350</v>
      </c>
      <c r="AJ43" s="10">
        <v>400</v>
      </c>
      <c r="AK43" s="10">
        <v>250</v>
      </c>
      <c r="AL43" s="10">
        <v>300</v>
      </c>
      <c r="AM43" s="10">
        <v>350</v>
      </c>
      <c r="AN43" s="10">
        <v>400</v>
      </c>
    </row>
    <row r="44" spans="1:40" x14ac:dyDescent="0.35">
      <c r="A44" s="28" t="s">
        <v>41</v>
      </c>
      <c r="B44" s="8">
        <v>380</v>
      </c>
      <c r="C44" s="28" t="s">
        <v>58</v>
      </c>
      <c r="D44" s="10">
        <v>250</v>
      </c>
      <c r="E44" s="11">
        <v>300</v>
      </c>
      <c r="F44" s="10">
        <v>250</v>
      </c>
      <c r="G44" s="10">
        <v>300</v>
      </c>
      <c r="H44" s="10">
        <v>350</v>
      </c>
      <c r="I44" s="10">
        <v>400</v>
      </c>
      <c r="J44" s="10">
        <v>250</v>
      </c>
      <c r="K44" s="10">
        <v>300</v>
      </c>
      <c r="L44" s="10">
        <v>350</v>
      </c>
      <c r="M44" s="10">
        <v>400</v>
      </c>
      <c r="N44" s="10">
        <v>500</v>
      </c>
      <c r="O44" s="10">
        <v>250</v>
      </c>
      <c r="P44" s="10">
        <v>300</v>
      </c>
      <c r="Q44" s="10">
        <v>350</v>
      </c>
      <c r="R44" s="10">
        <v>400</v>
      </c>
      <c r="S44" s="10">
        <v>500</v>
      </c>
      <c r="T44" s="10">
        <v>250</v>
      </c>
      <c r="U44" s="10">
        <v>300</v>
      </c>
      <c r="V44" s="10">
        <v>350</v>
      </c>
      <c r="W44" s="10">
        <v>400</v>
      </c>
      <c r="X44" s="10">
        <v>500</v>
      </c>
      <c r="Y44" s="10">
        <v>250</v>
      </c>
      <c r="Z44" s="10">
        <v>300</v>
      </c>
      <c r="AA44" s="10">
        <v>350</v>
      </c>
      <c r="AB44" s="10">
        <v>400</v>
      </c>
      <c r="AC44" s="10">
        <v>250</v>
      </c>
      <c r="AD44" s="10">
        <v>300</v>
      </c>
      <c r="AE44" s="10">
        <v>350</v>
      </c>
      <c r="AF44" s="10">
        <v>400</v>
      </c>
      <c r="AG44" s="10">
        <v>250</v>
      </c>
      <c r="AH44" s="10">
        <v>300</v>
      </c>
      <c r="AI44" s="10">
        <v>350</v>
      </c>
      <c r="AJ44" s="10">
        <v>400</v>
      </c>
      <c r="AK44" s="10">
        <v>250</v>
      </c>
      <c r="AL44" s="10">
        <v>300</v>
      </c>
      <c r="AM44" s="10">
        <v>350</v>
      </c>
      <c r="AN44" s="10">
        <v>400</v>
      </c>
    </row>
    <row r="45" spans="1:40" x14ac:dyDescent="0.35">
      <c r="A45" s="28" t="s">
        <v>42</v>
      </c>
      <c r="B45" s="8">
        <v>65</v>
      </c>
      <c r="C45" s="28" t="s">
        <v>50</v>
      </c>
      <c r="D45" s="22">
        <f>(1000/D43)*(1000/D44)</f>
        <v>16</v>
      </c>
      <c r="E45" s="21">
        <f t="shared" ref="E45:AN45" si="16">(1000/E43)*(1000/E44)</f>
        <v>11.111111111111112</v>
      </c>
      <c r="F45" s="22">
        <f t="shared" si="16"/>
        <v>16</v>
      </c>
      <c r="G45" s="22">
        <f t="shared" si="16"/>
        <v>11.111111111111112</v>
      </c>
      <c r="H45" s="22">
        <f t="shared" si="16"/>
        <v>8.1632653061224492</v>
      </c>
      <c r="I45" s="22">
        <f t="shared" si="16"/>
        <v>6.25</v>
      </c>
      <c r="J45" s="22">
        <f t="shared" si="16"/>
        <v>16</v>
      </c>
      <c r="K45" s="22">
        <f t="shared" si="16"/>
        <v>11.111111111111112</v>
      </c>
      <c r="L45" s="22">
        <f t="shared" si="16"/>
        <v>8.1632653061224492</v>
      </c>
      <c r="M45" s="22">
        <f t="shared" si="16"/>
        <v>6.25</v>
      </c>
      <c r="N45" s="22">
        <f t="shared" si="16"/>
        <v>4</v>
      </c>
      <c r="O45" s="22">
        <f t="shared" si="16"/>
        <v>16</v>
      </c>
      <c r="P45" s="22">
        <f t="shared" si="16"/>
        <v>11.111111111111112</v>
      </c>
      <c r="Q45" s="22">
        <f t="shared" si="16"/>
        <v>8.1632653061224492</v>
      </c>
      <c r="R45" s="22">
        <f t="shared" si="16"/>
        <v>6.25</v>
      </c>
      <c r="S45" s="22">
        <f t="shared" si="16"/>
        <v>4</v>
      </c>
      <c r="T45" s="22">
        <f t="shared" si="16"/>
        <v>16</v>
      </c>
      <c r="U45" s="22">
        <f t="shared" si="16"/>
        <v>11.111111111111112</v>
      </c>
      <c r="V45" s="22">
        <f t="shared" si="16"/>
        <v>8.1632653061224492</v>
      </c>
      <c r="W45" s="22">
        <f t="shared" si="16"/>
        <v>6.25</v>
      </c>
      <c r="X45" s="22">
        <f t="shared" si="16"/>
        <v>4</v>
      </c>
      <c r="Y45" s="22">
        <f t="shared" si="16"/>
        <v>16</v>
      </c>
      <c r="Z45" s="22">
        <f t="shared" si="16"/>
        <v>11.111111111111112</v>
      </c>
      <c r="AA45" s="22">
        <f t="shared" si="16"/>
        <v>8.1632653061224492</v>
      </c>
      <c r="AB45" s="22">
        <f t="shared" si="16"/>
        <v>6.25</v>
      </c>
      <c r="AC45" s="22">
        <f t="shared" si="16"/>
        <v>16</v>
      </c>
      <c r="AD45" s="22">
        <f t="shared" si="16"/>
        <v>11.111111111111112</v>
      </c>
      <c r="AE45" s="22">
        <f t="shared" si="16"/>
        <v>8.1632653061224492</v>
      </c>
      <c r="AF45" s="22">
        <f t="shared" si="16"/>
        <v>6.25</v>
      </c>
      <c r="AG45" s="22">
        <f t="shared" si="16"/>
        <v>16</v>
      </c>
      <c r="AH45" s="22">
        <f t="shared" si="16"/>
        <v>11.111111111111112</v>
      </c>
      <c r="AI45" s="22">
        <f t="shared" si="16"/>
        <v>8.1632653061224492</v>
      </c>
      <c r="AJ45" s="22">
        <f t="shared" si="16"/>
        <v>6.25</v>
      </c>
      <c r="AK45" s="22">
        <f t="shared" si="16"/>
        <v>16</v>
      </c>
      <c r="AL45" s="22">
        <f t="shared" si="16"/>
        <v>11.111111111111112</v>
      </c>
      <c r="AM45" s="22">
        <f t="shared" si="16"/>
        <v>8.1632653061224492</v>
      </c>
      <c r="AN45" s="22">
        <f t="shared" si="16"/>
        <v>6.25</v>
      </c>
    </row>
    <row r="46" spans="1:40" x14ac:dyDescent="0.35">
      <c r="A46" s="28" t="s">
        <v>43</v>
      </c>
      <c r="B46" s="8">
        <v>160</v>
      </c>
      <c r="C46" s="28" t="s">
        <v>51</v>
      </c>
      <c r="D46" s="18">
        <f>D45*$B$42</f>
        <v>9.44</v>
      </c>
      <c r="E46" s="23">
        <f t="shared" ref="E46:AN46" si="17">E45*$B$42</f>
        <v>6.5555555555555562</v>
      </c>
      <c r="F46" s="18">
        <f t="shared" si="17"/>
        <v>9.44</v>
      </c>
      <c r="G46" s="18">
        <f t="shared" si="17"/>
        <v>6.5555555555555562</v>
      </c>
      <c r="H46" s="18">
        <f t="shared" si="17"/>
        <v>4.8163265306122449</v>
      </c>
      <c r="I46" s="18">
        <f t="shared" si="17"/>
        <v>3.6875</v>
      </c>
      <c r="J46" s="18">
        <f t="shared" si="17"/>
        <v>9.44</v>
      </c>
      <c r="K46" s="18">
        <f t="shared" si="17"/>
        <v>6.5555555555555562</v>
      </c>
      <c r="L46" s="18">
        <f t="shared" si="17"/>
        <v>4.8163265306122449</v>
      </c>
      <c r="M46" s="18">
        <f t="shared" si="17"/>
        <v>3.6875</v>
      </c>
      <c r="N46" s="18">
        <f t="shared" si="17"/>
        <v>2.36</v>
      </c>
      <c r="O46" s="18">
        <f t="shared" si="17"/>
        <v>9.44</v>
      </c>
      <c r="P46" s="18">
        <f t="shared" si="17"/>
        <v>6.5555555555555562</v>
      </c>
      <c r="Q46" s="18">
        <f t="shared" si="17"/>
        <v>4.8163265306122449</v>
      </c>
      <c r="R46" s="18">
        <f t="shared" si="17"/>
        <v>3.6875</v>
      </c>
      <c r="S46" s="18">
        <f t="shared" si="17"/>
        <v>2.36</v>
      </c>
      <c r="T46" s="18">
        <f t="shared" si="17"/>
        <v>9.44</v>
      </c>
      <c r="U46" s="18">
        <f t="shared" si="17"/>
        <v>6.5555555555555562</v>
      </c>
      <c r="V46" s="18">
        <f t="shared" si="17"/>
        <v>4.8163265306122449</v>
      </c>
      <c r="W46" s="18">
        <f t="shared" si="17"/>
        <v>3.6875</v>
      </c>
      <c r="X46" s="18">
        <f t="shared" si="17"/>
        <v>2.36</v>
      </c>
      <c r="Y46" s="18">
        <f t="shared" si="17"/>
        <v>9.44</v>
      </c>
      <c r="Z46" s="18">
        <f t="shared" si="17"/>
        <v>6.5555555555555562</v>
      </c>
      <c r="AA46" s="18">
        <f t="shared" si="17"/>
        <v>4.8163265306122449</v>
      </c>
      <c r="AB46" s="18">
        <f t="shared" si="17"/>
        <v>3.6875</v>
      </c>
      <c r="AC46" s="18">
        <f t="shared" si="17"/>
        <v>9.44</v>
      </c>
      <c r="AD46" s="18">
        <f t="shared" si="17"/>
        <v>6.5555555555555562</v>
      </c>
      <c r="AE46" s="18">
        <f t="shared" si="17"/>
        <v>4.8163265306122449</v>
      </c>
      <c r="AF46" s="18">
        <f t="shared" si="17"/>
        <v>3.6875</v>
      </c>
      <c r="AG46" s="18">
        <f t="shared" si="17"/>
        <v>9.44</v>
      </c>
      <c r="AH46" s="18">
        <f t="shared" si="17"/>
        <v>6.5555555555555562</v>
      </c>
      <c r="AI46" s="18">
        <f t="shared" si="17"/>
        <v>4.8163265306122449</v>
      </c>
      <c r="AJ46" s="18">
        <f t="shared" si="17"/>
        <v>3.6875</v>
      </c>
      <c r="AK46" s="18">
        <f t="shared" si="17"/>
        <v>9.44</v>
      </c>
      <c r="AL46" s="18">
        <f t="shared" si="17"/>
        <v>6.5555555555555562</v>
      </c>
      <c r="AM46" s="18">
        <f t="shared" si="17"/>
        <v>4.8163265306122449</v>
      </c>
      <c r="AN46" s="18">
        <f t="shared" si="17"/>
        <v>3.6875</v>
      </c>
    </row>
    <row r="47" spans="1:40" x14ac:dyDescent="0.35">
      <c r="A47" s="28" t="s">
        <v>44</v>
      </c>
      <c r="B47" s="8">
        <v>5</v>
      </c>
      <c r="C47" s="28" t="s">
        <v>52</v>
      </c>
      <c r="D47" s="18">
        <f>D45*$B43</f>
        <v>64</v>
      </c>
      <c r="E47" s="23">
        <f t="shared" ref="E47:AN47" si="18">E45*$B43</f>
        <v>44.44444444444445</v>
      </c>
      <c r="F47" s="18">
        <f t="shared" si="18"/>
        <v>64</v>
      </c>
      <c r="G47" s="18">
        <f t="shared" si="18"/>
        <v>44.44444444444445</v>
      </c>
      <c r="H47" s="18">
        <f t="shared" si="18"/>
        <v>32.653061224489797</v>
      </c>
      <c r="I47" s="18">
        <f t="shared" si="18"/>
        <v>25</v>
      </c>
      <c r="J47" s="18">
        <f t="shared" si="18"/>
        <v>64</v>
      </c>
      <c r="K47" s="18">
        <f t="shared" si="18"/>
        <v>44.44444444444445</v>
      </c>
      <c r="L47" s="18">
        <f t="shared" si="18"/>
        <v>32.653061224489797</v>
      </c>
      <c r="M47" s="18">
        <f t="shared" si="18"/>
        <v>25</v>
      </c>
      <c r="N47" s="18">
        <f t="shared" si="18"/>
        <v>16</v>
      </c>
      <c r="O47" s="18">
        <f t="shared" si="18"/>
        <v>64</v>
      </c>
      <c r="P47" s="18">
        <f t="shared" si="18"/>
        <v>44.44444444444445</v>
      </c>
      <c r="Q47" s="18">
        <f t="shared" si="18"/>
        <v>32.653061224489797</v>
      </c>
      <c r="R47" s="18">
        <f t="shared" si="18"/>
        <v>25</v>
      </c>
      <c r="S47" s="18">
        <f t="shared" si="18"/>
        <v>16</v>
      </c>
      <c r="T47" s="18">
        <f t="shared" si="18"/>
        <v>64</v>
      </c>
      <c r="U47" s="18">
        <f t="shared" si="18"/>
        <v>44.44444444444445</v>
      </c>
      <c r="V47" s="18">
        <f t="shared" si="18"/>
        <v>32.653061224489797</v>
      </c>
      <c r="W47" s="18">
        <f t="shared" si="18"/>
        <v>25</v>
      </c>
      <c r="X47" s="18">
        <f t="shared" si="18"/>
        <v>16</v>
      </c>
      <c r="Y47" s="18">
        <f t="shared" si="18"/>
        <v>64</v>
      </c>
      <c r="Z47" s="18">
        <f t="shared" si="18"/>
        <v>44.44444444444445</v>
      </c>
      <c r="AA47" s="18">
        <f t="shared" si="18"/>
        <v>32.653061224489797</v>
      </c>
      <c r="AB47" s="18">
        <f t="shared" si="18"/>
        <v>25</v>
      </c>
      <c r="AC47" s="18">
        <f t="shared" si="18"/>
        <v>64</v>
      </c>
      <c r="AD47" s="18">
        <f t="shared" si="18"/>
        <v>44.44444444444445</v>
      </c>
      <c r="AE47" s="18">
        <f t="shared" si="18"/>
        <v>32.653061224489797</v>
      </c>
      <c r="AF47" s="18">
        <f t="shared" si="18"/>
        <v>25</v>
      </c>
      <c r="AG47" s="18">
        <f t="shared" si="18"/>
        <v>64</v>
      </c>
      <c r="AH47" s="18">
        <f t="shared" si="18"/>
        <v>44.44444444444445</v>
      </c>
      <c r="AI47" s="18">
        <f t="shared" si="18"/>
        <v>32.653061224489797</v>
      </c>
      <c r="AJ47" s="18">
        <f t="shared" si="18"/>
        <v>25</v>
      </c>
      <c r="AK47" s="18">
        <f t="shared" si="18"/>
        <v>64</v>
      </c>
      <c r="AL47" s="18">
        <f t="shared" si="18"/>
        <v>44.44444444444445</v>
      </c>
      <c r="AM47" s="18">
        <f t="shared" si="18"/>
        <v>32.653061224489797</v>
      </c>
      <c r="AN47" s="18">
        <f t="shared" si="18"/>
        <v>25</v>
      </c>
    </row>
    <row r="48" spans="1:40" x14ac:dyDescent="0.35">
      <c r="A48" s="28" t="s">
        <v>45</v>
      </c>
      <c r="B48" s="8">
        <v>6500</v>
      </c>
      <c r="C48" s="28" t="s">
        <v>53</v>
      </c>
      <c r="D48" s="13">
        <f>D45*$B44</f>
        <v>6080</v>
      </c>
      <c r="E48" s="6">
        <f t="shared" ref="E48:AN48" si="19">E45*$B44</f>
        <v>4222.2222222222226</v>
      </c>
      <c r="F48" s="13">
        <f t="shared" si="19"/>
        <v>6080</v>
      </c>
      <c r="G48" s="13">
        <f t="shared" si="19"/>
        <v>4222.2222222222226</v>
      </c>
      <c r="H48" s="13">
        <f t="shared" si="19"/>
        <v>3102.0408163265306</v>
      </c>
      <c r="I48" s="13">
        <f t="shared" si="19"/>
        <v>2375</v>
      </c>
      <c r="J48" s="13">
        <f t="shared" si="19"/>
        <v>6080</v>
      </c>
      <c r="K48" s="13">
        <f t="shared" si="19"/>
        <v>4222.2222222222226</v>
      </c>
      <c r="L48" s="13">
        <f t="shared" si="19"/>
        <v>3102.0408163265306</v>
      </c>
      <c r="M48" s="13">
        <f t="shared" si="19"/>
        <v>2375</v>
      </c>
      <c r="N48" s="13">
        <f t="shared" si="19"/>
        <v>1520</v>
      </c>
      <c r="O48" s="13">
        <f t="shared" si="19"/>
        <v>6080</v>
      </c>
      <c r="P48" s="13">
        <f t="shared" si="19"/>
        <v>4222.2222222222226</v>
      </c>
      <c r="Q48" s="13">
        <f t="shared" si="19"/>
        <v>3102.0408163265306</v>
      </c>
      <c r="R48" s="13">
        <f t="shared" si="19"/>
        <v>2375</v>
      </c>
      <c r="S48" s="13">
        <f t="shared" si="19"/>
        <v>1520</v>
      </c>
      <c r="T48" s="13">
        <f t="shared" si="19"/>
        <v>6080</v>
      </c>
      <c r="U48" s="13">
        <f t="shared" si="19"/>
        <v>4222.2222222222226</v>
      </c>
      <c r="V48" s="13">
        <f t="shared" si="19"/>
        <v>3102.0408163265306</v>
      </c>
      <c r="W48" s="13">
        <f t="shared" si="19"/>
        <v>2375</v>
      </c>
      <c r="X48" s="13">
        <f t="shared" si="19"/>
        <v>1520</v>
      </c>
      <c r="Y48" s="13">
        <f t="shared" si="19"/>
        <v>6080</v>
      </c>
      <c r="Z48" s="13">
        <f t="shared" si="19"/>
        <v>4222.2222222222226</v>
      </c>
      <c r="AA48" s="13">
        <f t="shared" si="19"/>
        <v>3102.0408163265306</v>
      </c>
      <c r="AB48" s="13">
        <f t="shared" si="19"/>
        <v>2375</v>
      </c>
      <c r="AC48" s="13">
        <f t="shared" si="19"/>
        <v>6080</v>
      </c>
      <c r="AD48" s="13">
        <f t="shared" si="19"/>
        <v>4222.2222222222226</v>
      </c>
      <c r="AE48" s="13">
        <f t="shared" si="19"/>
        <v>3102.0408163265306</v>
      </c>
      <c r="AF48" s="13">
        <f t="shared" si="19"/>
        <v>2375</v>
      </c>
      <c r="AG48" s="13">
        <f t="shared" si="19"/>
        <v>6080</v>
      </c>
      <c r="AH48" s="13">
        <f t="shared" si="19"/>
        <v>4222.2222222222226</v>
      </c>
      <c r="AI48" s="13">
        <f t="shared" si="19"/>
        <v>3102.0408163265306</v>
      </c>
      <c r="AJ48" s="13">
        <f t="shared" si="19"/>
        <v>2375</v>
      </c>
      <c r="AK48" s="13">
        <f t="shared" si="19"/>
        <v>6080</v>
      </c>
      <c r="AL48" s="13">
        <f t="shared" si="19"/>
        <v>4222.2222222222226</v>
      </c>
      <c r="AM48" s="13">
        <f t="shared" si="19"/>
        <v>3102.0408163265306</v>
      </c>
      <c r="AN48" s="13">
        <f t="shared" si="19"/>
        <v>2375</v>
      </c>
    </row>
    <row r="49" spans="1:40" x14ac:dyDescent="0.35">
      <c r="A49" s="28" t="s">
        <v>46</v>
      </c>
      <c r="B49" s="8">
        <v>500</v>
      </c>
      <c r="C49" s="28" t="s">
        <v>54</v>
      </c>
      <c r="D49" s="10">
        <v>4000</v>
      </c>
      <c r="E49" s="11">
        <v>2800</v>
      </c>
      <c r="F49" s="10">
        <v>3800</v>
      </c>
      <c r="G49" s="10">
        <v>2700</v>
      </c>
      <c r="H49" s="10">
        <v>1900</v>
      </c>
      <c r="I49" s="10">
        <v>1500</v>
      </c>
      <c r="J49" s="10">
        <v>3500</v>
      </c>
      <c r="K49" s="10">
        <v>2500</v>
      </c>
      <c r="L49" s="10">
        <v>1700</v>
      </c>
      <c r="M49" s="10">
        <v>1350</v>
      </c>
      <c r="N49" s="10">
        <v>1000</v>
      </c>
      <c r="O49" s="10">
        <v>3300</v>
      </c>
      <c r="P49" s="10">
        <v>2200</v>
      </c>
      <c r="Q49" s="10">
        <v>1500</v>
      </c>
      <c r="R49" s="10">
        <v>1200</v>
      </c>
      <c r="S49" s="10">
        <v>950</v>
      </c>
      <c r="T49" s="10">
        <v>3100</v>
      </c>
      <c r="U49" s="10">
        <v>2000</v>
      </c>
      <c r="V49" s="10">
        <v>1350</v>
      </c>
      <c r="W49" s="10">
        <v>1100</v>
      </c>
      <c r="X49" s="10">
        <v>900</v>
      </c>
      <c r="Y49" s="10">
        <v>2900</v>
      </c>
      <c r="Z49" s="10">
        <v>1900</v>
      </c>
      <c r="AA49" s="10">
        <v>1200</v>
      </c>
      <c r="AB49" s="10">
        <v>1000</v>
      </c>
      <c r="AC49" s="10">
        <v>2700</v>
      </c>
      <c r="AD49" s="10">
        <v>1750</v>
      </c>
      <c r="AE49" s="10">
        <v>1100</v>
      </c>
      <c r="AF49" s="10">
        <v>950</v>
      </c>
      <c r="AG49" s="10">
        <v>2500</v>
      </c>
      <c r="AH49" s="10">
        <v>1500</v>
      </c>
      <c r="AI49" s="10">
        <v>1000</v>
      </c>
      <c r="AJ49" s="10">
        <v>850</v>
      </c>
      <c r="AK49" s="10">
        <v>2200</v>
      </c>
      <c r="AL49" s="10">
        <v>1400</v>
      </c>
      <c r="AM49" s="10">
        <v>900</v>
      </c>
      <c r="AN49" s="10">
        <v>750</v>
      </c>
    </row>
    <row r="52" spans="1:40" ht="21" x14ac:dyDescent="0.5">
      <c r="A52" s="47" t="s">
        <v>29</v>
      </c>
      <c r="B52" s="27"/>
      <c r="C52" s="15"/>
    </row>
    <row r="53" spans="1:40" x14ac:dyDescent="0.35">
      <c r="A53" s="28" t="s">
        <v>39</v>
      </c>
      <c r="B53" s="27">
        <v>0.11</v>
      </c>
      <c r="C53" s="29" t="s">
        <v>48</v>
      </c>
      <c r="D53" s="44">
        <v>40</v>
      </c>
      <c r="E53" s="71">
        <v>50</v>
      </c>
      <c r="F53" s="73"/>
      <c r="G53" s="62">
        <v>60</v>
      </c>
      <c r="H53" s="63"/>
      <c r="I53" s="63"/>
      <c r="J53" s="62">
        <v>70</v>
      </c>
      <c r="K53" s="63"/>
      <c r="L53" s="63"/>
      <c r="M53" s="63"/>
      <c r="N53" s="62">
        <v>80</v>
      </c>
      <c r="O53" s="63"/>
      <c r="P53" s="63"/>
      <c r="Q53" s="63"/>
      <c r="R53" s="62">
        <v>90</v>
      </c>
      <c r="S53" s="63"/>
      <c r="T53" s="63"/>
      <c r="U53" s="63"/>
      <c r="V53" s="62">
        <v>100</v>
      </c>
      <c r="W53" s="63"/>
      <c r="X53" s="63"/>
      <c r="Y53" s="63"/>
      <c r="Z53" s="80"/>
    </row>
    <row r="54" spans="1:40" x14ac:dyDescent="0.35">
      <c r="A54" s="28" t="s">
        <v>40</v>
      </c>
      <c r="B54" s="27">
        <v>0.36</v>
      </c>
      <c r="C54" s="28" t="s">
        <v>57</v>
      </c>
      <c r="D54" s="27">
        <v>60</v>
      </c>
      <c r="E54" s="27">
        <v>60</v>
      </c>
      <c r="F54" s="27">
        <v>80</v>
      </c>
      <c r="G54" s="27">
        <v>60</v>
      </c>
      <c r="H54" s="27">
        <v>80</v>
      </c>
      <c r="I54" s="27">
        <v>100</v>
      </c>
      <c r="J54" s="27">
        <v>60</v>
      </c>
      <c r="K54" s="27">
        <v>80</v>
      </c>
      <c r="L54" s="27">
        <v>100</v>
      </c>
      <c r="M54" s="27">
        <v>120</v>
      </c>
      <c r="N54" s="27">
        <v>60</v>
      </c>
      <c r="O54" s="27">
        <v>80</v>
      </c>
      <c r="P54" s="27">
        <v>100</v>
      </c>
      <c r="Q54" s="27">
        <v>120</v>
      </c>
      <c r="R54" s="27">
        <v>60</v>
      </c>
      <c r="S54" s="27">
        <v>80</v>
      </c>
      <c r="T54" s="27">
        <v>100</v>
      </c>
      <c r="U54" s="27">
        <v>120</v>
      </c>
      <c r="V54" s="27">
        <v>60</v>
      </c>
      <c r="W54" s="27">
        <v>80</v>
      </c>
      <c r="X54" s="27">
        <v>100</v>
      </c>
      <c r="Y54" s="27">
        <v>120</v>
      </c>
      <c r="Z54" s="80"/>
    </row>
    <row r="55" spans="1:40" x14ac:dyDescent="0.35">
      <c r="A55" s="28" t="s">
        <v>41</v>
      </c>
      <c r="B55" s="27">
        <v>43</v>
      </c>
      <c r="C55" s="28" t="s">
        <v>58</v>
      </c>
      <c r="D55" s="27">
        <v>60</v>
      </c>
      <c r="E55" s="27">
        <v>60</v>
      </c>
      <c r="F55" s="27">
        <v>80</v>
      </c>
      <c r="G55" s="27">
        <v>60</v>
      </c>
      <c r="H55" s="27">
        <v>80</v>
      </c>
      <c r="I55" s="27">
        <v>100</v>
      </c>
      <c r="J55" s="27">
        <v>60</v>
      </c>
      <c r="K55" s="27">
        <v>80</v>
      </c>
      <c r="L55" s="27">
        <v>100</v>
      </c>
      <c r="M55" s="27">
        <v>120</v>
      </c>
      <c r="N55" s="27">
        <v>60</v>
      </c>
      <c r="O55" s="27">
        <v>80</v>
      </c>
      <c r="P55" s="27">
        <v>100</v>
      </c>
      <c r="Q55" s="27">
        <v>120</v>
      </c>
      <c r="R55" s="27">
        <v>60</v>
      </c>
      <c r="S55" s="27">
        <v>80</v>
      </c>
      <c r="T55" s="27">
        <v>100</v>
      </c>
      <c r="U55" s="27">
        <v>120</v>
      </c>
      <c r="V55" s="27">
        <v>60</v>
      </c>
      <c r="W55" s="27">
        <v>80</v>
      </c>
      <c r="X55" s="27">
        <v>100</v>
      </c>
      <c r="Y55" s="27">
        <v>120</v>
      </c>
      <c r="Z55" s="80"/>
    </row>
    <row r="56" spans="1:40" x14ac:dyDescent="0.35">
      <c r="A56" s="28" t="s">
        <v>42</v>
      </c>
      <c r="B56" s="27">
        <v>67</v>
      </c>
      <c r="C56" s="28" t="s">
        <v>50</v>
      </c>
      <c r="D56" s="30">
        <f t="shared" ref="D56:Y56" si="20">ROUND((1000/D54),)^2</f>
        <v>289</v>
      </c>
      <c r="E56" s="30">
        <f t="shared" si="20"/>
        <v>289</v>
      </c>
      <c r="F56" s="30">
        <f t="shared" si="20"/>
        <v>169</v>
      </c>
      <c r="G56" s="30">
        <f t="shared" si="20"/>
        <v>289</v>
      </c>
      <c r="H56" s="30">
        <f t="shared" si="20"/>
        <v>169</v>
      </c>
      <c r="I56" s="30">
        <f t="shared" si="20"/>
        <v>100</v>
      </c>
      <c r="J56" s="30">
        <f t="shared" si="20"/>
        <v>289</v>
      </c>
      <c r="K56" s="30">
        <f t="shared" si="20"/>
        <v>169</v>
      </c>
      <c r="L56" s="30">
        <f t="shared" si="20"/>
        <v>100</v>
      </c>
      <c r="M56" s="30">
        <f t="shared" si="20"/>
        <v>64</v>
      </c>
      <c r="N56" s="30">
        <f t="shared" si="20"/>
        <v>289</v>
      </c>
      <c r="O56" s="30">
        <f t="shared" si="20"/>
        <v>169</v>
      </c>
      <c r="P56" s="30">
        <f t="shared" si="20"/>
        <v>100</v>
      </c>
      <c r="Q56" s="30">
        <f t="shared" si="20"/>
        <v>64</v>
      </c>
      <c r="R56" s="30">
        <f t="shared" si="20"/>
        <v>289</v>
      </c>
      <c r="S56" s="30">
        <f t="shared" si="20"/>
        <v>169</v>
      </c>
      <c r="T56" s="30">
        <f t="shared" si="20"/>
        <v>100</v>
      </c>
      <c r="U56" s="30">
        <f t="shared" si="20"/>
        <v>64</v>
      </c>
      <c r="V56" s="30">
        <f t="shared" si="20"/>
        <v>289</v>
      </c>
      <c r="W56" s="30">
        <f t="shared" si="20"/>
        <v>169</v>
      </c>
      <c r="X56" s="30">
        <f t="shared" si="20"/>
        <v>100</v>
      </c>
      <c r="Y56" s="30">
        <f t="shared" si="20"/>
        <v>64</v>
      </c>
      <c r="Z56" s="80"/>
    </row>
    <row r="57" spans="1:40" x14ac:dyDescent="0.35">
      <c r="A57" s="28" t="s">
        <v>43</v>
      </c>
      <c r="B57" s="27">
        <v>165</v>
      </c>
      <c r="C57" s="28" t="s">
        <v>51</v>
      </c>
      <c r="D57" s="30">
        <f>D56*$B$53</f>
        <v>31.79</v>
      </c>
      <c r="E57" s="30">
        <f>E56*$B$53</f>
        <v>31.79</v>
      </c>
      <c r="F57" s="30">
        <f>F56*$B$53</f>
        <v>18.59</v>
      </c>
      <c r="G57" s="30">
        <f t="shared" ref="G57:Y57" si="21">G56*$B$53</f>
        <v>31.79</v>
      </c>
      <c r="H57" s="30">
        <f t="shared" si="21"/>
        <v>18.59</v>
      </c>
      <c r="I57" s="30">
        <f t="shared" si="21"/>
        <v>11</v>
      </c>
      <c r="J57" s="30">
        <f t="shared" si="21"/>
        <v>31.79</v>
      </c>
      <c r="K57" s="30">
        <f t="shared" si="21"/>
        <v>18.59</v>
      </c>
      <c r="L57" s="30">
        <f t="shared" si="21"/>
        <v>11</v>
      </c>
      <c r="M57" s="30">
        <f t="shared" si="21"/>
        <v>7.04</v>
      </c>
      <c r="N57" s="30">
        <f t="shared" si="21"/>
        <v>31.79</v>
      </c>
      <c r="O57" s="30">
        <f t="shared" si="21"/>
        <v>18.59</v>
      </c>
      <c r="P57" s="30">
        <f t="shared" si="21"/>
        <v>11</v>
      </c>
      <c r="Q57" s="30">
        <f t="shared" si="21"/>
        <v>7.04</v>
      </c>
      <c r="R57" s="30">
        <f t="shared" si="21"/>
        <v>31.79</v>
      </c>
      <c r="S57" s="30">
        <f t="shared" si="21"/>
        <v>18.59</v>
      </c>
      <c r="T57" s="30">
        <f t="shared" si="21"/>
        <v>11</v>
      </c>
      <c r="U57" s="30">
        <f t="shared" si="21"/>
        <v>7.04</v>
      </c>
      <c r="V57" s="30">
        <f t="shared" si="21"/>
        <v>31.79</v>
      </c>
      <c r="W57" s="30">
        <f t="shared" si="21"/>
        <v>18.59</v>
      </c>
      <c r="X57" s="30">
        <f t="shared" si="21"/>
        <v>11</v>
      </c>
      <c r="Y57" s="30">
        <f t="shared" si="21"/>
        <v>7.04</v>
      </c>
      <c r="Z57" s="80"/>
    </row>
    <row r="58" spans="1:40" x14ac:dyDescent="0.35">
      <c r="A58" s="28" t="s">
        <v>44</v>
      </c>
      <c r="B58" s="27">
        <v>5</v>
      </c>
      <c r="C58" s="28" t="s">
        <v>52</v>
      </c>
      <c r="D58" s="30">
        <f t="shared" ref="D58:Y58" si="22">D56*$B54</f>
        <v>104.03999999999999</v>
      </c>
      <c r="E58" s="30">
        <f t="shared" si="22"/>
        <v>104.03999999999999</v>
      </c>
      <c r="F58" s="30">
        <f t="shared" si="22"/>
        <v>60.839999999999996</v>
      </c>
      <c r="G58" s="30">
        <f t="shared" si="22"/>
        <v>104.03999999999999</v>
      </c>
      <c r="H58" s="30">
        <f t="shared" si="22"/>
        <v>60.839999999999996</v>
      </c>
      <c r="I58" s="30">
        <f t="shared" si="22"/>
        <v>36</v>
      </c>
      <c r="J58" s="30">
        <f t="shared" si="22"/>
        <v>104.03999999999999</v>
      </c>
      <c r="K58" s="30">
        <f t="shared" si="22"/>
        <v>60.839999999999996</v>
      </c>
      <c r="L58" s="30">
        <f t="shared" si="22"/>
        <v>36</v>
      </c>
      <c r="M58" s="30">
        <f t="shared" si="22"/>
        <v>23.04</v>
      </c>
      <c r="N58" s="30">
        <f t="shared" si="22"/>
        <v>104.03999999999999</v>
      </c>
      <c r="O58" s="30">
        <f t="shared" si="22"/>
        <v>60.839999999999996</v>
      </c>
      <c r="P58" s="30">
        <f t="shared" si="22"/>
        <v>36</v>
      </c>
      <c r="Q58" s="30">
        <f t="shared" si="22"/>
        <v>23.04</v>
      </c>
      <c r="R58" s="30">
        <f t="shared" si="22"/>
        <v>104.03999999999999</v>
      </c>
      <c r="S58" s="30">
        <f t="shared" si="22"/>
        <v>60.839999999999996</v>
      </c>
      <c r="T58" s="30">
        <f t="shared" si="22"/>
        <v>36</v>
      </c>
      <c r="U58" s="30">
        <f t="shared" si="22"/>
        <v>23.04</v>
      </c>
      <c r="V58" s="30">
        <f t="shared" si="22"/>
        <v>104.03999999999999</v>
      </c>
      <c r="W58" s="30">
        <f t="shared" si="22"/>
        <v>60.839999999999996</v>
      </c>
      <c r="X58" s="30">
        <f t="shared" si="22"/>
        <v>36</v>
      </c>
      <c r="Y58" s="30">
        <f t="shared" si="22"/>
        <v>23.04</v>
      </c>
      <c r="Z58" s="80"/>
    </row>
    <row r="59" spans="1:40" x14ac:dyDescent="0.35">
      <c r="A59" s="28" t="s">
        <v>45</v>
      </c>
      <c r="B59" s="27">
        <v>6500</v>
      </c>
      <c r="C59" s="28" t="s">
        <v>53</v>
      </c>
      <c r="D59" s="27">
        <f t="shared" ref="D59:Y59" si="23">D56*$B55</f>
        <v>12427</v>
      </c>
      <c r="E59" s="27">
        <f t="shared" si="23"/>
        <v>12427</v>
      </c>
      <c r="F59" s="27">
        <f t="shared" si="23"/>
        <v>7267</v>
      </c>
      <c r="G59" s="27">
        <f t="shared" si="23"/>
        <v>12427</v>
      </c>
      <c r="H59" s="27">
        <f t="shared" si="23"/>
        <v>7267</v>
      </c>
      <c r="I59" s="27">
        <f t="shared" si="23"/>
        <v>4300</v>
      </c>
      <c r="J59" s="27">
        <f t="shared" si="23"/>
        <v>12427</v>
      </c>
      <c r="K59" s="27">
        <f t="shared" si="23"/>
        <v>7267</v>
      </c>
      <c r="L59" s="27">
        <f t="shared" si="23"/>
        <v>4300</v>
      </c>
      <c r="M59" s="27">
        <f t="shared" si="23"/>
        <v>2752</v>
      </c>
      <c r="N59" s="27">
        <f t="shared" si="23"/>
        <v>12427</v>
      </c>
      <c r="O59" s="27">
        <f t="shared" si="23"/>
        <v>7267</v>
      </c>
      <c r="P59" s="27">
        <f t="shared" si="23"/>
        <v>4300</v>
      </c>
      <c r="Q59" s="27">
        <f t="shared" si="23"/>
        <v>2752</v>
      </c>
      <c r="R59" s="27">
        <f t="shared" si="23"/>
        <v>12427</v>
      </c>
      <c r="S59" s="27">
        <f t="shared" si="23"/>
        <v>7267</v>
      </c>
      <c r="T59" s="27">
        <f t="shared" si="23"/>
        <v>4300</v>
      </c>
      <c r="U59" s="27">
        <f t="shared" si="23"/>
        <v>2752</v>
      </c>
      <c r="V59" s="27">
        <f t="shared" si="23"/>
        <v>12427</v>
      </c>
      <c r="W59" s="27">
        <f t="shared" si="23"/>
        <v>7267</v>
      </c>
      <c r="X59" s="27">
        <f t="shared" si="23"/>
        <v>4300</v>
      </c>
      <c r="Y59" s="27">
        <f t="shared" si="23"/>
        <v>2752</v>
      </c>
      <c r="Z59" s="80"/>
    </row>
    <row r="60" spans="1:40" x14ac:dyDescent="0.35">
      <c r="A60" s="28" t="s">
        <v>46</v>
      </c>
      <c r="B60" s="27">
        <v>160</v>
      </c>
      <c r="C60" s="28" t="s">
        <v>54</v>
      </c>
      <c r="D60" s="52">
        <v>5700</v>
      </c>
      <c r="E60" s="27">
        <v>5350</v>
      </c>
      <c r="F60" s="27">
        <v>3800</v>
      </c>
      <c r="G60" s="48">
        <v>5000</v>
      </c>
      <c r="H60" s="27">
        <v>3600</v>
      </c>
      <c r="I60" s="27">
        <v>2400</v>
      </c>
      <c r="J60" s="48">
        <v>4700</v>
      </c>
      <c r="K60" s="27">
        <v>3400</v>
      </c>
      <c r="L60" s="27">
        <v>2250</v>
      </c>
      <c r="M60" s="48">
        <v>1700</v>
      </c>
      <c r="N60" s="27">
        <v>4400</v>
      </c>
      <c r="O60" s="27">
        <v>3200</v>
      </c>
      <c r="P60" s="48">
        <v>2150</v>
      </c>
      <c r="Q60" s="27">
        <v>1650</v>
      </c>
      <c r="R60" s="27">
        <v>4100</v>
      </c>
      <c r="S60" s="53">
        <v>3000</v>
      </c>
      <c r="T60" s="27">
        <v>2000</v>
      </c>
      <c r="U60" s="27">
        <v>1600</v>
      </c>
      <c r="V60" s="48">
        <v>3800</v>
      </c>
      <c r="W60" s="27">
        <v>2800</v>
      </c>
      <c r="X60" s="27">
        <v>1900</v>
      </c>
      <c r="Y60" s="48">
        <v>1550</v>
      </c>
      <c r="Z60" s="80"/>
    </row>
    <row r="62" spans="1:40" ht="21" x14ac:dyDescent="0.5">
      <c r="A62" s="47" t="s">
        <v>30</v>
      </c>
      <c r="B62" s="27"/>
      <c r="C62" s="15"/>
      <c r="D62" s="27"/>
      <c r="E62" s="27"/>
      <c r="F62" s="27"/>
    </row>
    <row r="63" spans="1:40" x14ac:dyDescent="0.35">
      <c r="A63" s="28" t="s">
        <v>39</v>
      </c>
      <c r="B63" s="27">
        <v>0.11</v>
      </c>
      <c r="C63" s="29" t="s">
        <v>48</v>
      </c>
      <c r="D63" s="44">
        <v>50</v>
      </c>
      <c r="E63" s="71">
        <v>60</v>
      </c>
      <c r="F63" s="73"/>
      <c r="G63" s="62">
        <v>70</v>
      </c>
      <c r="H63" s="63"/>
      <c r="I63" s="63"/>
      <c r="J63" s="62">
        <v>80</v>
      </c>
      <c r="K63" s="63"/>
      <c r="L63" s="63"/>
      <c r="M63" s="62">
        <v>90</v>
      </c>
      <c r="N63" s="63"/>
      <c r="O63" s="63"/>
      <c r="P63" s="62">
        <v>100</v>
      </c>
      <c r="Q63" s="63"/>
      <c r="R63" s="63"/>
      <c r="S63" s="62">
        <v>120</v>
      </c>
      <c r="T63" s="63"/>
      <c r="U63" s="63"/>
      <c r="V63" s="62">
        <v>140</v>
      </c>
      <c r="W63" s="63"/>
      <c r="X63" s="63"/>
      <c r="Y63" s="62">
        <v>160</v>
      </c>
      <c r="Z63" s="63"/>
      <c r="AA63" s="63"/>
      <c r="AB63" s="62">
        <v>180</v>
      </c>
      <c r="AC63" s="63"/>
      <c r="AD63" s="63"/>
      <c r="AE63" s="62">
        <v>200</v>
      </c>
      <c r="AF63" s="63"/>
      <c r="AG63" s="63"/>
      <c r="AH63" s="80"/>
    </row>
    <row r="64" spans="1:40" x14ac:dyDescent="0.35">
      <c r="A64" s="28" t="s">
        <v>40</v>
      </c>
      <c r="B64" s="27">
        <v>0.5</v>
      </c>
      <c r="C64" s="28" t="s">
        <v>57</v>
      </c>
      <c r="D64" s="27">
        <v>80</v>
      </c>
      <c r="E64" s="27">
        <v>80</v>
      </c>
      <c r="F64" s="27">
        <v>100</v>
      </c>
      <c r="G64" s="27">
        <v>80</v>
      </c>
      <c r="H64" s="27">
        <v>100</v>
      </c>
      <c r="I64" s="27">
        <v>120</v>
      </c>
      <c r="J64" s="27">
        <v>100</v>
      </c>
      <c r="K64" s="27">
        <v>120</v>
      </c>
      <c r="L64" s="27">
        <v>140</v>
      </c>
      <c r="M64" s="27">
        <v>120</v>
      </c>
      <c r="N64" s="27">
        <v>140</v>
      </c>
      <c r="O64" s="27">
        <v>160</v>
      </c>
      <c r="P64" s="27">
        <v>120</v>
      </c>
      <c r="Q64" s="27">
        <v>140</v>
      </c>
      <c r="R64" s="27">
        <v>160</v>
      </c>
      <c r="S64" s="27">
        <v>120</v>
      </c>
      <c r="T64" s="27">
        <v>140</v>
      </c>
      <c r="U64" s="27">
        <v>160</v>
      </c>
      <c r="V64" s="27">
        <v>120</v>
      </c>
      <c r="W64" s="27">
        <v>140</v>
      </c>
      <c r="X64" s="27">
        <v>160</v>
      </c>
      <c r="Y64" s="27">
        <v>120</v>
      </c>
      <c r="Z64" s="27">
        <v>140</v>
      </c>
      <c r="AA64" s="27">
        <v>160</v>
      </c>
      <c r="AB64" s="27">
        <v>120</v>
      </c>
      <c r="AC64" s="27">
        <v>140</v>
      </c>
      <c r="AD64" s="27">
        <v>160</v>
      </c>
      <c r="AE64" s="27">
        <v>120</v>
      </c>
      <c r="AF64" s="27">
        <v>140</v>
      </c>
      <c r="AG64" s="27">
        <v>160</v>
      </c>
      <c r="AH64" s="80"/>
    </row>
    <row r="65" spans="1:58" x14ac:dyDescent="0.35">
      <c r="A65" s="28" t="s">
        <v>41</v>
      </c>
      <c r="B65" s="27">
        <v>60</v>
      </c>
      <c r="C65" s="28" t="s">
        <v>58</v>
      </c>
      <c r="D65" s="27">
        <v>80</v>
      </c>
      <c r="E65" s="27">
        <v>80</v>
      </c>
      <c r="F65" s="27">
        <v>100</v>
      </c>
      <c r="G65" s="27">
        <v>80</v>
      </c>
      <c r="H65" s="27">
        <v>100</v>
      </c>
      <c r="I65" s="27">
        <v>120</v>
      </c>
      <c r="J65" s="27">
        <v>100</v>
      </c>
      <c r="K65" s="27">
        <v>120</v>
      </c>
      <c r="L65" s="27">
        <v>140</v>
      </c>
      <c r="M65" s="27">
        <v>120</v>
      </c>
      <c r="N65" s="27">
        <v>140</v>
      </c>
      <c r="O65" s="27">
        <v>160</v>
      </c>
      <c r="P65" s="27">
        <v>120</v>
      </c>
      <c r="Q65" s="27">
        <v>140</v>
      </c>
      <c r="R65" s="27">
        <v>160</v>
      </c>
      <c r="S65" s="27">
        <v>120</v>
      </c>
      <c r="T65" s="27">
        <v>140</v>
      </c>
      <c r="U65" s="27">
        <v>160</v>
      </c>
      <c r="V65" s="27">
        <v>120</v>
      </c>
      <c r="W65" s="27">
        <v>140</v>
      </c>
      <c r="X65" s="27">
        <v>160</v>
      </c>
      <c r="Y65" s="27">
        <v>120</v>
      </c>
      <c r="Z65" s="27">
        <v>140</v>
      </c>
      <c r="AA65" s="27">
        <v>160</v>
      </c>
      <c r="AB65" s="27">
        <v>120</v>
      </c>
      <c r="AC65" s="27">
        <v>140</v>
      </c>
      <c r="AD65" s="27">
        <v>160</v>
      </c>
      <c r="AE65" s="27">
        <v>120</v>
      </c>
      <c r="AF65" s="27">
        <v>140</v>
      </c>
      <c r="AG65" s="27">
        <v>160</v>
      </c>
      <c r="AH65" s="80"/>
    </row>
    <row r="66" spans="1:58" x14ac:dyDescent="0.35">
      <c r="A66" s="28" t="s">
        <v>42</v>
      </c>
      <c r="B66" s="27">
        <v>67</v>
      </c>
      <c r="C66" s="28" t="s">
        <v>50</v>
      </c>
      <c r="D66" s="30">
        <f t="shared" ref="D66:AG66" si="24">ROUND((1000/D64),)^2</f>
        <v>169</v>
      </c>
      <c r="E66" s="30">
        <f t="shared" si="24"/>
        <v>169</v>
      </c>
      <c r="F66" s="30">
        <f t="shared" si="24"/>
        <v>100</v>
      </c>
      <c r="G66" s="30">
        <f t="shared" si="24"/>
        <v>169</v>
      </c>
      <c r="H66" s="30">
        <f t="shared" si="24"/>
        <v>100</v>
      </c>
      <c r="I66" s="30">
        <f t="shared" si="24"/>
        <v>64</v>
      </c>
      <c r="J66" s="30">
        <f t="shared" si="24"/>
        <v>100</v>
      </c>
      <c r="K66" s="30">
        <f t="shared" si="24"/>
        <v>64</v>
      </c>
      <c r="L66" s="30">
        <f t="shared" si="24"/>
        <v>49</v>
      </c>
      <c r="M66" s="30">
        <f t="shared" si="24"/>
        <v>64</v>
      </c>
      <c r="N66" s="30">
        <f t="shared" si="24"/>
        <v>49</v>
      </c>
      <c r="O66" s="30">
        <f t="shared" si="24"/>
        <v>36</v>
      </c>
      <c r="P66" s="30">
        <f t="shared" si="24"/>
        <v>64</v>
      </c>
      <c r="Q66" s="30">
        <f t="shared" si="24"/>
        <v>49</v>
      </c>
      <c r="R66" s="30">
        <f t="shared" si="24"/>
        <v>36</v>
      </c>
      <c r="S66" s="30">
        <f t="shared" si="24"/>
        <v>64</v>
      </c>
      <c r="T66" s="30">
        <f t="shared" si="24"/>
        <v>49</v>
      </c>
      <c r="U66" s="30">
        <f t="shared" si="24"/>
        <v>36</v>
      </c>
      <c r="V66" s="30">
        <f t="shared" si="24"/>
        <v>64</v>
      </c>
      <c r="W66" s="30">
        <f t="shared" si="24"/>
        <v>49</v>
      </c>
      <c r="X66" s="30">
        <f t="shared" si="24"/>
        <v>36</v>
      </c>
      <c r="Y66" s="30">
        <f t="shared" si="24"/>
        <v>64</v>
      </c>
      <c r="Z66" s="30">
        <f t="shared" si="24"/>
        <v>49</v>
      </c>
      <c r="AA66" s="30">
        <f t="shared" si="24"/>
        <v>36</v>
      </c>
      <c r="AB66" s="30">
        <f t="shared" si="24"/>
        <v>64</v>
      </c>
      <c r="AC66" s="30">
        <f t="shared" si="24"/>
        <v>49</v>
      </c>
      <c r="AD66" s="30">
        <f t="shared" si="24"/>
        <v>36</v>
      </c>
      <c r="AE66" s="30">
        <f t="shared" si="24"/>
        <v>64</v>
      </c>
      <c r="AF66" s="30">
        <f t="shared" si="24"/>
        <v>49</v>
      </c>
      <c r="AG66" s="30">
        <f t="shared" si="24"/>
        <v>36</v>
      </c>
      <c r="AH66" s="80"/>
    </row>
    <row r="67" spans="1:58" x14ac:dyDescent="0.35">
      <c r="A67" s="28" t="s">
        <v>43</v>
      </c>
      <c r="B67" s="27">
        <v>165</v>
      </c>
      <c r="C67" s="28" t="s">
        <v>51</v>
      </c>
      <c r="D67" s="30">
        <f>D66*$B$63</f>
        <v>18.59</v>
      </c>
      <c r="E67" s="30">
        <f>E66*$B$63</f>
        <v>18.59</v>
      </c>
      <c r="F67" s="30">
        <f>F66*$B$63</f>
        <v>11</v>
      </c>
      <c r="G67" s="30">
        <f t="shared" ref="G67:AG67" si="25">G66*$B$63</f>
        <v>18.59</v>
      </c>
      <c r="H67" s="30">
        <f t="shared" si="25"/>
        <v>11</v>
      </c>
      <c r="I67" s="30">
        <f t="shared" si="25"/>
        <v>7.04</v>
      </c>
      <c r="J67" s="30">
        <f t="shared" si="25"/>
        <v>11</v>
      </c>
      <c r="K67" s="30">
        <f t="shared" si="25"/>
        <v>7.04</v>
      </c>
      <c r="L67" s="30">
        <f t="shared" si="25"/>
        <v>5.39</v>
      </c>
      <c r="M67" s="30">
        <f t="shared" si="25"/>
        <v>7.04</v>
      </c>
      <c r="N67" s="30">
        <f t="shared" si="25"/>
        <v>5.39</v>
      </c>
      <c r="O67" s="30">
        <f t="shared" si="25"/>
        <v>3.96</v>
      </c>
      <c r="P67" s="30">
        <f t="shared" si="25"/>
        <v>7.04</v>
      </c>
      <c r="Q67" s="30">
        <f t="shared" si="25"/>
        <v>5.39</v>
      </c>
      <c r="R67" s="30">
        <f t="shared" si="25"/>
        <v>3.96</v>
      </c>
      <c r="S67" s="30">
        <f t="shared" si="25"/>
        <v>7.04</v>
      </c>
      <c r="T67" s="30">
        <f t="shared" si="25"/>
        <v>5.39</v>
      </c>
      <c r="U67" s="30">
        <f t="shared" si="25"/>
        <v>3.96</v>
      </c>
      <c r="V67" s="30">
        <f t="shared" si="25"/>
        <v>7.04</v>
      </c>
      <c r="W67" s="30">
        <f t="shared" si="25"/>
        <v>5.39</v>
      </c>
      <c r="X67" s="30">
        <f t="shared" si="25"/>
        <v>3.96</v>
      </c>
      <c r="Y67" s="30">
        <f t="shared" si="25"/>
        <v>7.04</v>
      </c>
      <c r="Z67" s="30">
        <f t="shared" si="25"/>
        <v>5.39</v>
      </c>
      <c r="AA67" s="30">
        <f t="shared" si="25"/>
        <v>3.96</v>
      </c>
      <c r="AB67" s="30">
        <f t="shared" si="25"/>
        <v>7.04</v>
      </c>
      <c r="AC67" s="30">
        <f t="shared" si="25"/>
        <v>5.39</v>
      </c>
      <c r="AD67" s="30">
        <f t="shared" si="25"/>
        <v>3.96</v>
      </c>
      <c r="AE67" s="30">
        <f t="shared" si="25"/>
        <v>7.04</v>
      </c>
      <c r="AF67" s="30">
        <f t="shared" si="25"/>
        <v>5.39</v>
      </c>
      <c r="AG67" s="30">
        <f t="shared" si="25"/>
        <v>3.96</v>
      </c>
      <c r="AH67" s="80"/>
    </row>
    <row r="68" spans="1:58" x14ac:dyDescent="0.35">
      <c r="A68" s="28" t="s">
        <v>44</v>
      </c>
      <c r="B68" s="27">
        <v>5</v>
      </c>
      <c r="C68" s="28" t="s">
        <v>52</v>
      </c>
      <c r="D68" s="30">
        <f t="shared" ref="D68:AG68" si="26">D66*$B64</f>
        <v>84.5</v>
      </c>
      <c r="E68" s="30">
        <f t="shared" si="26"/>
        <v>84.5</v>
      </c>
      <c r="F68" s="30">
        <f t="shared" si="26"/>
        <v>50</v>
      </c>
      <c r="G68" s="30">
        <f t="shared" si="26"/>
        <v>84.5</v>
      </c>
      <c r="H68" s="30">
        <f t="shared" si="26"/>
        <v>50</v>
      </c>
      <c r="I68" s="30">
        <f t="shared" si="26"/>
        <v>32</v>
      </c>
      <c r="J68" s="30">
        <f t="shared" si="26"/>
        <v>50</v>
      </c>
      <c r="K68" s="30">
        <f t="shared" si="26"/>
        <v>32</v>
      </c>
      <c r="L68" s="30">
        <f t="shared" si="26"/>
        <v>24.5</v>
      </c>
      <c r="M68" s="30">
        <f t="shared" si="26"/>
        <v>32</v>
      </c>
      <c r="N68" s="30">
        <f t="shared" si="26"/>
        <v>24.5</v>
      </c>
      <c r="O68" s="30">
        <f t="shared" si="26"/>
        <v>18</v>
      </c>
      <c r="P68" s="30">
        <f t="shared" si="26"/>
        <v>32</v>
      </c>
      <c r="Q68" s="30">
        <f t="shared" si="26"/>
        <v>24.5</v>
      </c>
      <c r="R68" s="30">
        <f t="shared" si="26"/>
        <v>18</v>
      </c>
      <c r="S68" s="30">
        <f t="shared" si="26"/>
        <v>32</v>
      </c>
      <c r="T68" s="30">
        <f t="shared" si="26"/>
        <v>24.5</v>
      </c>
      <c r="U68" s="30">
        <f t="shared" si="26"/>
        <v>18</v>
      </c>
      <c r="V68" s="30">
        <f t="shared" si="26"/>
        <v>32</v>
      </c>
      <c r="W68" s="30">
        <f t="shared" si="26"/>
        <v>24.5</v>
      </c>
      <c r="X68" s="30">
        <f t="shared" si="26"/>
        <v>18</v>
      </c>
      <c r="Y68" s="30">
        <f t="shared" si="26"/>
        <v>32</v>
      </c>
      <c r="Z68" s="30">
        <f t="shared" si="26"/>
        <v>24.5</v>
      </c>
      <c r="AA68" s="30">
        <f t="shared" si="26"/>
        <v>18</v>
      </c>
      <c r="AB68" s="30">
        <f t="shared" si="26"/>
        <v>32</v>
      </c>
      <c r="AC68" s="30">
        <f t="shared" si="26"/>
        <v>24.5</v>
      </c>
      <c r="AD68" s="30">
        <f t="shared" si="26"/>
        <v>18</v>
      </c>
      <c r="AE68" s="30">
        <f t="shared" si="26"/>
        <v>32</v>
      </c>
      <c r="AF68" s="30">
        <f t="shared" si="26"/>
        <v>24.5</v>
      </c>
      <c r="AG68" s="30">
        <f t="shared" si="26"/>
        <v>18</v>
      </c>
      <c r="AH68" s="80"/>
    </row>
    <row r="69" spans="1:58" x14ac:dyDescent="0.35">
      <c r="A69" s="28" t="s">
        <v>45</v>
      </c>
      <c r="B69" s="27">
        <v>6500</v>
      </c>
      <c r="C69" s="28" t="s">
        <v>53</v>
      </c>
      <c r="D69" s="27">
        <f t="shared" ref="D69:AG69" si="27">D66*$B65</f>
        <v>10140</v>
      </c>
      <c r="E69" s="27">
        <f t="shared" si="27"/>
        <v>10140</v>
      </c>
      <c r="F69" s="27">
        <f t="shared" si="27"/>
        <v>6000</v>
      </c>
      <c r="G69" s="27">
        <f t="shared" si="27"/>
        <v>10140</v>
      </c>
      <c r="H69" s="27">
        <f t="shared" si="27"/>
        <v>6000</v>
      </c>
      <c r="I69" s="27">
        <f t="shared" si="27"/>
        <v>3840</v>
      </c>
      <c r="J69" s="27">
        <f t="shared" si="27"/>
        <v>6000</v>
      </c>
      <c r="K69" s="27">
        <f t="shared" si="27"/>
        <v>3840</v>
      </c>
      <c r="L69" s="27">
        <f t="shared" si="27"/>
        <v>2940</v>
      </c>
      <c r="M69" s="27">
        <f t="shared" si="27"/>
        <v>3840</v>
      </c>
      <c r="N69" s="27">
        <f t="shared" si="27"/>
        <v>2940</v>
      </c>
      <c r="O69" s="27">
        <f t="shared" si="27"/>
        <v>2160</v>
      </c>
      <c r="P69" s="27">
        <f t="shared" si="27"/>
        <v>3840</v>
      </c>
      <c r="Q69" s="27">
        <f t="shared" si="27"/>
        <v>2940</v>
      </c>
      <c r="R69" s="27">
        <f t="shared" si="27"/>
        <v>2160</v>
      </c>
      <c r="S69" s="27">
        <f t="shared" si="27"/>
        <v>3840</v>
      </c>
      <c r="T69" s="27">
        <f t="shared" si="27"/>
        <v>2940</v>
      </c>
      <c r="U69" s="27">
        <f t="shared" si="27"/>
        <v>2160</v>
      </c>
      <c r="V69" s="27">
        <f t="shared" si="27"/>
        <v>3840</v>
      </c>
      <c r="W69" s="27">
        <f t="shared" si="27"/>
        <v>2940</v>
      </c>
      <c r="X69" s="27">
        <f t="shared" si="27"/>
        <v>2160</v>
      </c>
      <c r="Y69" s="27">
        <f t="shared" si="27"/>
        <v>3840</v>
      </c>
      <c r="Z69" s="27">
        <f t="shared" si="27"/>
        <v>2940</v>
      </c>
      <c r="AA69" s="27">
        <f t="shared" si="27"/>
        <v>2160</v>
      </c>
      <c r="AB69" s="27">
        <f t="shared" si="27"/>
        <v>3840</v>
      </c>
      <c r="AC69" s="27">
        <f t="shared" si="27"/>
        <v>2940</v>
      </c>
      <c r="AD69" s="27">
        <f t="shared" si="27"/>
        <v>2160</v>
      </c>
      <c r="AE69" s="27">
        <f t="shared" si="27"/>
        <v>3840</v>
      </c>
      <c r="AF69" s="27">
        <f t="shared" si="27"/>
        <v>2940</v>
      </c>
      <c r="AG69" s="27">
        <f t="shared" si="27"/>
        <v>2160</v>
      </c>
      <c r="AH69" s="80"/>
    </row>
    <row r="70" spans="1:58" x14ac:dyDescent="0.35">
      <c r="A70" s="28" t="s">
        <v>46</v>
      </c>
      <c r="B70" s="27">
        <v>160</v>
      </c>
      <c r="C70" s="28" t="s">
        <v>54</v>
      </c>
      <c r="D70" s="27">
        <v>5300</v>
      </c>
      <c r="E70" s="27">
        <v>5100</v>
      </c>
      <c r="F70" s="27">
        <v>3500</v>
      </c>
      <c r="G70" s="27">
        <v>4900</v>
      </c>
      <c r="H70" s="27">
        <v>3400</v>
      </c>
      <c r="I70" s="27">
        <v>2600</v>
      </c>
      <c r="J70" s="27">
        <v>3200</v>
      </c>
      <c r="K70" s="27">
        <v>2400</v>
      </c>
      <c r="L70" s="27">
        <v>1750</v>
      </c>
      <c r="M70" s="27">
        <v>2300</v>
      </c>
      <c r="N70" s="27">
        <v>1700</v>
      </c>
      <c r="O70" s="27">
        <v>1350</v>
      </c>
      <c r="P70" s="27">
        <v>2200</v>
      </c>
      <c r="Q70" s="27">
        <v>1650</v>
      </c>
      <c r="R70" s="27">
        <v>1300</v>
      </c>
      <c r="S70" s="27">
        <v>2100</v>
      </c>
      <c r="T70" s="27">
        <v>1600</v>
      </c>
      <c r="U70" s="27">
        <v>1250</v>
      </c>
      <c r="V70" s="27">
        <v>2000</v>
      </c>
      <c r="W70" s="27">
        <v>1500</v>
      </c>
      <c r="X70" s="27">
        <v>1200</v>
      </c>
      <c r="Y70" s="27">
        <v>1850</v>
      </c>
      <c r="Z70" s="27">
        <v>1400</v>
      </c>
      <c r="AA70" s="27">
        <v>1150</v>
      </c>
      <c r="AB70" s="27">
        <v>1750</v>
      </c>
      <c r="AC70" s="27">
        <v>1300</v>
      </c>
      <c r="AD70" s="27">
        <v>1050</v>
      </c>
      <c r="AE70" s="27">
        <v>1650</v>
      </c>
      <c r="AF70" s="27">
        <v>1200</v>
      </c>
      <c r="AG70" s="27">
        <v>950</v>
      </c>
      <c r="AH70" s="80"/>
    </row>
    <row r="72" spans="1:58" ht="21" x14ac:dyDescent="0.5">
      <c r="A72" s="47" t="s">
        <v>18</v>
      </c>
      <c r="B72" s="27"/>
      <c r="C72" s="15"/>
    </row>
    <row r="73" spans="1:58" x14ac:dyDescent="0.35">
      <c r="A73" s="28" t="s">
        <v>39</v>
      </c>
      <c r="B73" s="27">
        <v>0.12</v>
      </c>
      <c r="C73" s="29" t="s">
        <v>48</v>
      </c>
      <c r="D73" s="44">
        <v>60</v>
      </c>
      <c r="E73" s="71">
        <v>70</v>
      </c>
      <c r="F73" s="73"/>
      <c r="G73" s="71">
        <v>80</v>
      </c>
      <c r="H73" s="72"/>
      <c r="I73" s="73"/>
      <c r="J73" s="71">
        <v>90</v>
      </c>
      <c r="K73" s="72"/>
      <c r="L73" s="72"/>
      <c r="M73" s="73"/>
      <c r="N73" s="71">
        <v>100</v>
      </c>
      <c r="O73" s="72"/>
      <c r="P73" s="72"/>
      <c r="Q73" s="73"/>
      <c r="R73" s="71">
        <v>110</v>
      </c>
      <c r="S73" s="72"/>
      <c r="T73" s="72"/>
      <c r="U73" s="73"/>
      <c r="V73" s="71">
        <v>120</v>
      </c>
      <c r="W73" s="72"/>
      <c r="X73" s="72"/>
      <c r="Y73" s="73"/>
      <c r="Z73" s="71">
        <v>130</v>
      </c>
      <c r="AA73" s="72"/>
      <c r="AB73" s="72"/>
      <c r="AC73" s="73"/>
      <c r="AD73" s="71">
        <v>140</v>
      </c>
      <c r="AE73" s="72"/>
      <c r="AF73" s="72"/>
      <c r="AG73" s="73"/>
      <c r="AH73" s="71">
        <v>150</v>
      </c>
      <c r="AI73" s="72"/>
      <c r="AJ73" s="72"/>
      <c r="AK73" s="73"/>
      <c r="AL73" s="71">
        <v>160</v>
      </c>
      <c r="AM73" s="72"/>
      <c r="AN73" s="72"/>
      <c r="AO73" s="73"/>
      <c r="AP73" s="71">
        <v>170</v>
      </c>
      <c r="AQ73" s="72"/>
      <c r="AR73" s="72"/>
      <c r="AS73" s="73"/>
      <c r="AT73" s="71">
        <v>180</v>
      </c>
      <c r="AU73" s="72"/>
      <c r="AV73" s="72"/>
      <c r="AW73" s="73"/>
      <c r="AX73" s="71">
        <v>190</v>
      </c>
      <c r="AY73" s="72"/>
      <c r="AZ73" s="72"/>
      <c r="BA73" s="73"/>
      <c r="BB73" s="71">
        <v>200</v>
      </c>
      <c r="BC73" s="72"/>
      <c r="BD73" s="72"/>
      <c r="BE73" s="72"/>
      <c r="BF73" s="80"/>
    </row>
    <row r="74" spans="1:58" x14ac:dyDescent="0.35">
      <c r="A74" s="28" t="s">
        <v>40</v>
      </c>
      <c r="B74" s="27">
        <v>0.72</v>
      </c>
      <c r="C74" s="28" t="s">
        <v>57</v>
      </c>
      <c r="D74" s="27">
        <v>100</v>
      </c>
      <c r="E74" s="27">
        <v>100</v>
      </c>
      <c r="F74" s="27">
        <v>120</v>
      </c>
      <c r="G74" s="27">
        <v>100</v>
      </c>
      <c r="H74" s="27">
        <v>120</v>
      </c>
      <c r="I74" s="27">
        <v>140</v>
      </c>
      <c r="J74" s="27">
        <v>100</v>
      </c>
      <c r="K74" s="27">
        <v>120</v>
      </c>
      <c r="L74" s="27">
        <v>140</v>
      </c>
      <c r="M74" s="27">
        <v>160</v>
      </c>
      <c r="N74" s="27">
        <v>100</v>
      </c>
      <c r="O74" s="27">
        <v>120</v>
      </c>
      <c r="P74" s="27">
        <v>140</v>
      </c>
      <c r="Q74" s="27">
        <v>160</v>
      </c>
      <c r="R74" s="27">
        <v>100</v>
      </c>
      <c r="S74" s="27">
        <v>120</v>
      </c>
      <c r="T74" s="27">
        <v>140</v>
      </c>
      <c r="U74" s="27">
        <v>160</v>
      </c>
      <c r="V74" s="27">
        <v>100</v>
      </c>
      <c r="W74" s="27">
        <v>120</v>
      </c>
      <c r="X74" s="27">
        <v>140</v>
      </c>
      <c r="Y74" s="27">
        <v>160</v>
      </c>
      <c r="Z74" s="27">
        <v>100</v>
      </c>
      <c r="AA74" s="27">
        <v>120</v>
      </c>
      <c r="AB74" s="27">
        <v>140</v>
      </c>
      <c r="AC74" s="27">
        <v>160</v>
      </c>
      <c r="AD74" s="27">
        <v>100</v>
      </c>
      <c r="AE74" s="27">
        <v>120</v>
      </c>
      <c r="AF74" s="27">
        <v>140</v>
      </c>
      <c r="AG74" s="27">
        <v>160</v>
      </c>
      <c r="AH74" s="27">
        <v>100</v>
      </c>
      <c r="AI74" s="27">
        <v>120</v>
      </c>
      <c r="AJ74" s="27">
        <v>140</v>
      </c>
      <c r="AK74" s="27">
        <v>160</v>
      </c>
      <c r="AL74" s="27">
        <v>100</v>
      </c>
      <c r="AM74" s="27">
        <v>120</v>
      </c>
      <c r="AN74" s="27">
        <v>140</v>
      </c>
      <c r="AO74" s="27">
        <v>160</v>
      </c>
      <c r="AP74" s="27">
        <v>100</v>
      </c>
      <c r="AQ74" s="27">
        <v>120</v>
      </c>
      <c r="AR74" s="27">
        <v>140</v>
      </c>
      <c r="AS74" s="27">
        <v>160</v>
      </c>
      <c r="AT74" s="27">
        <v>100</v>
      </c>
      <c r="AU74" s="27">
        <v>120</v>
      </c>
      <c r="AV74" s="27">
        <v>140</v>
      </c>
      <c r="AW74" s="27">
        <v>160</v>
      </c>
      <c r="AX74" s="27">
        <v>100</v>
      </c>
      <c r="AY74" s="27">
        <v>120</v>
      </c>
      <c r="AZ74" s="27">
        <v>140</v>
      </c>
      <c r="BA74" s="27">
        <v>160</v>
      </c>
      <c r="BB74" s="27">
        <v>100</v>
      </c>
      <c r="BC74" s="27">
        <v>120</v>
      </c>
      <c r="BD74" s="27">
        <v>140</v>
      </c>
      <c r="BE74" s="27">
        <v>160</v>
      </c>
      <c r="BF74" s="80"/>
    </row>
    <row r="75" spans="1:58" x14ac:dyDescent="0.35">
      <c r="A75" s="28" t="s">
        <v>41</v>
      </c>
      <c r="B75" s="27">
        <v>83</v>
      </c>
      <c r="C75" s="28" t="s">
        <v>58</v>
      </c>
      <c r="D75" s="27">
        <v>100</v>
      </c>
      <c r="E75" s="27">
        <v>100</v>
      </c>
      <c r="F75" s="27">
        <v>120</v>
      </c>
      <c r="G75" s="27">
        <v>100</v>
      </c>
      <c r="H75" s="27">
        <v>120</v>
      </c>
      <c r="I75" s="27">
        <v>140</v>
      </c>
      <c r="J75" s="27">
        <v>100</v>
      </c>
      <c r="K75" s="27">
        <v>120</v>
      </c>
      <c r="L75" s="27">
        <v>140</v>
      </c>
      <c r="M75" s="27">
        <v>160</v>
      </c>
      <c r="N75" s="27">
        <v>100</v>
      </c>
      <c r="O75" s="27">
        <v>120</v>
      </c>
      <c r="P75" s="27">
        <v>140</v>
      </c>
      <c r="Q75" s="27">
        <v>160</v>
      </c>
      <c r="R75" s="27">
        <v>100</v>
      </c>
      <c r="S75" s="27">
        <v>120</v>
      </c>
      <c r="T75" s="27">
        <v>140</v>
      </c>
      <c r="U75" s="27">
        <v>160</v>
      </c>
      <c r="V75" s="27">
        <v>100</v>
      </c>
      <c r="W75" s="27">
        <v>120</v>
      </c>
      <c r="X75" s="27">
        <v>140</v>
      </c>
      <c r="Y75" s="27">
        <v>160</v>
      </c>
      <c r="Z75" s="27">
        <v>100</v>
      </c>
      <c r="AA75" s="27">
        <v>120</v>
      </c>
      <c r="AB75" s="27">
        <v>140</v>
      </c>
      <c r="AC75" s="27">
        <v>160</v>
      </c>
      <c r="AD75" s="27">
        <v>100</v>
      </c>
      <c r="AE75" s="27">
        <v>120</v>
      </c>
      <c r="AF75" s="27">
        <v>140</v>
      </c>
      <c r="AG75" s="27">
        <v>160</v>
      </c>
      <c r="AH75" s="27">
        <v>100</v>
      </c>
      <c r="AI75" s="27">
        <v>120</v>
      </c>
      <c r="AJ75" s="27">
        <v>140</v>
      </c>
      <c r="AK75" s="27">
        <v>160</v>
      </c>
      <c r="AL75" s="27">
        <v>100</v>
      </c>
      <c r="AM75" s="27">
        <v>120</v>
      </c>
      <c r="AN75" s="27">
        <v>140</v>
      </c>
      <c r="AO75" s="27">
        <v>160</v>
      </c>
      <c r="AP75" s="27">
        <v>100</v>
      </c>
      <c r="AQ75" s="27">
        <v>120</v>
      </c>
      <c r="AR75" s="27">
        <v>140</v>
      </c>
      <c r="AS75" s="27">
        <v>160</v>
      </c>
      <c r="AT75" s="27">
        <v>100</v>
      </c>
      <c r="AU75" s="27">
        <v>120</v>
      </c>
      <c r="AV75" s="27">
        <v>140</v>
      </c>
      <c r="AW75" s="27">
        <v>160</v>
      </c>
      <c r="AX75" s="27">
        <v>100</v>
      </c>
      <c r="AY75" s="27">
        <v>120</v>
      </c>
      <c r="AZ75" s="27">
        <v>140</v>
      </c>
      <c r="BA75" s="27">
        <v>160</v>
      </c>
      <c r="BB75" s="27">
        <v>100</v>
      </c>
      <c r="BC75" s="27">
        <v>120</v>
      </c>
      <c r="BD75" s="27">
        <v>140</v>
      </c>
      <c r="BE75" s="27">
        <v>160</v>
      </c>
      <c r="BF75" s="80"/>
    </row>
    <row r="76" spans="1:58" x14ac:dyDescent="0.35">
      <c r="A76" s="28" t="s">
        <v>42</v>
      </c>
      <c r="B76" s="27">
        <v>66</v>
      </c>
      <c r="C76" s="28" t="s">
        <v>50</v>
      </c>
      <c r="D76" s="30">
        <f t="shared" ref="D76:U76" si="28">ROUND((1000/D74),)^2</f>
        <v>100</v>
      </c>
      <c r="E76" s="30">
        <f t="shared" si="28"/>
        <v>100</v>
      </c>
      <c r="F76" s="30">
        <f t="shared" si="28"/>
        <v>64</v>
      </c>
      <c r="G76" s="30">
        <f t="shared" si="28"/>
        <v>100</v>
      </c>
      <c r="H76" s="30">
        <f t="shared" si="28"/>
        <v>64</v>
      </c>
      <c r="I76" s="30">
        <f t="shared" si="28"/>
        <v>49</v>
      </c>
      <c r="J76" s="30">
        <f t="shared" si="28"/>
        <v>100</v>
      </c>
      <c r="K76" s="30">
        <f t="shared" si="28"/>
        <v>64</v>
      </c>
      <c r="L76" s="30">
        <f t="shared" si="28"/>
        <v>49</v>
      </c>
      <c r="M76" s="30">
        <f t="shared" si="28"/>
        <v>36</v>
      </c>
      <c r="N76" s="30">
        <f t="shared" si="28"/>
        <v>100</v>
      </c>
      <c r="O76" s="30">
        <f t="shared" si="28"/>
        <v>64</v>
      </c>
      <c r="P76" s="30">
        <f t="shared" si="28"/>
        <v>49</v>
      </c>
      <c r="Q76" s="30">
        <f t="shared" si="28"/>
        <v>36</v>
      </c>
      <c r="R76" s="30">
        <f t="shared" si="28"/>
        <v>100</v>
      </c>
      <c r="S76" s="30">
        <f t="shared" si="28"/>
        <v>64</v>
      </c>
      <c r="T76" s="30">
        <f t="shared" si="28"/>
        <v>49</v>
      </c>
      <c r="U76" s="30">
        <f t="shared" si="28"/>
        <v>36</v>
      </c>
      <c r="V76" s="30">
        <f t="shared" ref="V76:BE76" si="29">ROUND((1000/V74),)^2</f>
        <v>100</v>
      </c>
      <c r="W76" s="30">
        <f t="shared" si="29"/>
        <v>64</v>
      </c>
      <c r="X76" s="30">
        <f t="shared" si="29"/>
        <v>49</v>
      </c>
      <c r="Y76" s="30">
        <f t="shared" si="29"/>
        <v>36</v>
      </c>
      <c r="Z76" s="30">
        <f t="shared" si="29"/>
        <v>100</v>
      </c>
      <c r="AA76" s="30">
        <f t="shared" si="29"/>
        <v>64</v>
      </c>
      <c r="AB76" s="30">
        <f t="shared" si="29"/>
        <v>49</v>
      </c>
      <c r="AC76" s="30">
        <f t="shared" si="29"/>
        <v>36</v>
      </c>
      <c r="AD76" s="30">
        <f t="shared" si="29"/>
        <v>100</v>
      </c>
      <c r="AE76" s="30">
        <f t="shared" si="29"/>
        <v>64</v>
      </c>
      <c r="AF76" s="30">
        <f t="shared" si="29"/>
        <v>49</v>
      </c>
      <c r="AG76" s="30">
        <f t="shared" si="29"/>
        <v>36</v>
      </c>
      <c r="AH76" s="30">
        <f t="shared" si="29"/>
        <v>100</v>
      </c>
      <c r="AI76" s="30">
        <f t="shared" si="29"/>
        <v>64</v>
      </c>
      <c r="AJ76" s="30">
        <f t="shared" si="29"/>
        <v>49</v>
      </c>
      <c r="AK76" s="30">
        <f t="shared" si="29"/>
        <v>36</v>
      </c>
      <c r="AL76" s="30">
        <f t="shared" si="29"/>
        <v>100</v>
      </c>
      <c r="AM76" s="30">
        <f t="shared" si="29"/>
        <v>64</v>
      </c>
      <c r="AN76" s="30">
        <f t="shared" si="29"/>
        <v>49</v>
      </c>
      <c r="AO76" s="30">
        <f t="shared" si="29"/>
        <v>36</v>
      </c>
      <c r="AP76" s="30">
        <f t="shared" si="29"/>
        <v>100</v>
      </c>
      <c r="AQ76" s="30">
        <f t="shared" si="29"/>
        <v>64</v>
      </c>
      <c r="AR76" s="30">
        <f t="shared" si="29"/>
        <v>49</v>
      </c>
      <c r="AS76" s="30">
        <f t="shared" si="29"/>
        <v>36</v>
      </c>
      <c r="AT76" s="30">
        <f t="shared" si="29"/>
        <v>100</v>
      </c>
      <c r="AU76" s="30">
        <f t="shared" si="29"/>
        <v>64</v>
      </c>
      <c r="AV76" s="30">
        <f t="shared" si="29"/>
        <v>49</v>
      </c>
      <c r="AW76" s="30">
        <f t="shared" si="29"/>
        <v>36</v>
      </c>
      <c r="AX76" s="30">
        <f t="shared" si="29"/>
        <v>100</v>
      </c>
      <c r="AY76" s="30">
        <f t="shared" si="29"/>
        <v>64</v>
      </c>
      <c r="AZ76" s="30">
        <f t="shared" si="29"/>
        <v>49</v>
      </c>
      <c r="BA76" s="30">
        <f t="shared" si="29"/>
        <v>36</v>
      </c>
      <c r="BB76" s="30">
        <f t="shared" si="29"/>
        <v>100</v>
      </c>
      <c r="BC76" s="30">
        <f t="shared" si="29"/>
        <v>64</v>
      </c>
      <c r="BD76" s="30">
        <f t="shared" si="29"/>
        <v>49</v>
      </c>
      <c r="BE76" s="30">
        <f t="shared" si="29"/>
        <v>36</v>
      </c>
      <c r="BF76" s="80"/>
    </row>
    <row r="77" spans="1:58" x14ac:dyDescent="0.35">
      <c r="A77" s="28" t="s">
        <v>43</v>
      </c>
      <c r="B77" s="27">
        <v>165</v>
      </c>
      <c r="C77" s="28" t="s">
        <v>51</v>
      </c>
      <c r="D77" s="30">
        <f t="shared" ref="D77:AI77" si="30">D76*$B$73</f>
        <v>12</v>
      </c>
      <c r="E77" s="30">
        <f t="shared" si="30"/>
        <v>12</v>
      </c>
      <c r="F77" s="30">
        <f t="shared" si="30"/>
        <v>7.68</v>
      </c>
      <c r="G77" s="30">
        <f t="shared" si="30"/>
        <v>12</v>
      </c>
      <c r="H77" s="30">
        <f t="shared" si="30"/>
        <v>7.68</v>
      </c>
      <c r="I77" s="30">
        <f t="shared" si="30"/>
        <v>5.88</v>
      </c>
      <c r="J77" s="30">
        <f t="shared" si="30"/>
        <v>12</v>
      </c>
      <c r="K77" s="30">
        <f t="shared" si="30"/>
        <v>7.68</v>
      </c>
      <c r="L77" s="30">
        <f t="shared" si="30"/>
        <v>5.88</v>
      </c>
      <c r="M77" s="30">
        <f t="shared" si="30"/>
        <v>4.32</v>
      </c>
      <c r="N77" s="30">
        <f t="shared" si="30"/>
        <v>12</v>
      </c>
      <c r="O77" s="30">
        <f t="shared" si="30"/>
        <v>7.68</v>
      </c>
      <c r="P77" s="30">
        <f t="shared" si="30"/>
        <v>5.88</v>
      </c>
      <c r="Q77" s="30">
        <f t="shared" si="30"/>
        <v>4.32</v>
      </c>
      <c r="R77" s="30">
        <f t="shared" si="30"/>
        <v>12</v>
      </c>
      <c r="S77" s="30">
        <f t="shared" si="30"/>
        <v>7.68</v>
      </c>
      <c r="T77" s="30">
        <f t="shared" si="30"/>
        <v>5.88</v>
      </c>
      <c r="U77" s="30">
        <f t="shared" si="30"/>
        <v>4.32</v>
      </c>
      <c r="V77" s="30">
        <f t="shared" si="30"/>
        <v>12</v>
      </c>
      <c r="W77" s="30">
        <f t="shared" si="30"/>
        <v>7.68</v>
      </c>
      <c r="X77" s="30">
        <f t="shared" si="30"/>
        <v>5.88</v>
      </c>
      <c r="Y77" s="30">
        <f t="shared" si="30"/>
        <v>4.32</v>
      </c>
      <c r="Z77" s="30">
        <f t="shared" si="30"/>
        <v>12</v>
      </c>
      <c r="AA77" s="30">
        <f t="shared" si="30"/>
        <v>7.68</v>
      </c>
      <c r="AB77" s="30">
        <f t="shared" si="30"/>
        <v>5.88</v>
      </c>
      <c r="AC77" s="30">
        <f t="shared" si="30"/>
        <v>4.32</v>
      </c>
      <c r="AD77" s="30">
        <f t="shared" si="30"/>
        <v>12</v>
      </c>
      <c r="AE77" s="30">
        <f t="shared" si="30"/>
        <v>7.68</v>
      </c>
      <c r="AF77" s="30">
        <f t="shared" si="30"/>
        <v>5.88</v>
      </c>
      <c r="AG77" s="30">
        <f t="shared" si="30"/>
        <v>4.32</v>
      </c>
      <c r="AH77" s="30">
        <f t="shared" si="30"/>
        <v>12</v>
      </c>
      <c r="AI77" s="30">
        <f t="shared" si="30"/>
        <v>7.68</v>
      </c>
      <c r="AJ77" s="30">
        <f t="shared" ref="AJ77:BE77" si="31">AJ76*$B$73</f>
        <v>5.88</v>
      </c>
      <c r="AK77" s="30">
        <f t="shared" si="31"/>
        <v>4.32</v>
      </c>
      <c r="AL77" s="30">
        <f t="shared" si="31"/>
        <v>12</v>
      </c>
      <c r="AM77" s="30">
        <f t="shared" si="31"/>
        <v>7.68</v>
      </c>
      <c r="AN77" s="30">
        <f t="shared" si="31"/>
        <v>5.88</v>
      </c>
      <c r="AO77" s="30">
        <f t="shared" si="31"/>
        <v>4.32</v>
      </c>
      <c r="AP77" s="30">
        <f t="shared" si="31"/>
        <v>12</v>
      </c>
      <c r="AQ77" s="30">
        <f t="shared" si="31"/>
        <v>7.68</v>
      </c>
      <c r="AR77" s="30">
        <f t="shared" si="31"/>
        <v>5.88</v>
      </c>
      <c r="AS77" s="30">
        <f t="shared" si="31"/>
        <v>4.32</v>
      </c>
      <c r="AT77" s="30">
        <f t="shared" si="31"/>
        <v>12</v>
      </c>
      <c r="AU77" s="30">
        <f t="shared" si="31"/>
        <v>7.68</v>
      </c>
      <c r="AV77" s="30">
        <f t="shared" si="31"/>
        <v>5.88</v>
      </c>
      <c r="AW77" s="30">
        <f t="shared" si="31"/>
        <v>4.32</v>
      </c>
      <c r="AX77" s="30">
        <f t="shared" si="31"/>
        <v>12</v>
      </c>
      <c r="AY77" s="30">
        <f t="shared" si="31"/>
        <v>7.68</v>
      </c>
      <c r="AZ77" s="30">
        <f t="shared" si="31"/>
        <v>5.88</v>
      </c>
      <c r="BA77" s="30">
        <f t="shared" si="31"/>
        <v>4.32</v>
      </c>
      <c r="BB77" s="30">
        <f t="shared" si="31"/>
        <v>12</v>
      </c>
      <c r="BC77" s="30">
        <f t="shared" si="31"/>
        <v>7.68</v>
      </c>
      <c r="BD77" s="30">
        <f t="shared" si="31"/>
        <v>5.88</v>
      </c>
      <c r="BE77" s="30">
        <f t="shared" si="31"/>
        <v>4.32</v>
      </c>
      <c r="BF77" s="80"/>
    </row>
    <row r="78" spans="1:58" x14ac:dyDescent="0.35">
      <c r="A78" s="28" t="s">
        <v>44</v>
      </c>
      <c r="B78" s="27">
        <v>5</v>
      </c>
      <c r="C78" s="28" t="s">
        <v>52</v>
      </c>
      <c r="D78" s="30">
        <f t="shared" ref="D78:F78" si="32">D76*$B74</f>
        <v>72</v>
      </c>
      <c r="E78" s="30">
        <f t="shared" si="32"/>
        <v>72</v>
      </c>
      <c r="F78" s="30">
        <f t="shared" si="32"/>
        <v>46.08</v>
      </c>
      <c r="G78" s="30">
        <f t="shared" ref="G78:AL78" si="33">G76*$B74</f>
        <v>72</v>
      </c>
      <c r="H78" s="30">
        <f t="shared" si="33"/>
        <v>46.08</v>
      </c>
      <c r="I78" s="30">
        <f t="shared" si="33"/>
        <v>35.28</v>
      </c>
      <c r="J78" s="30">
        <f t="shared" si="33"/>
        <v>72</v>
      </c>
      <c r="K78" s="30">
        <f t="shared" si="33"/>
        <v>46.08</v>
      </c>
      <c r="L78" s="30">
        <f t="shared" si="33"/>
        <v>35.28</v>
      </c>
      <c r="M78" s="30">
        <f t="shared" si="33"/>
        <v>25.919999999999998</v>
      </c>
      <c r="N78" s="30">
        <f t="shared" si="33"/>
        <v>72</v>
      </c>
      <c r="O78" s="30">
        <f t="shared" si="33"/>
        <v>46.08</v>
      </c>
      <c r="P78" s="30">
        <f t="shared" si="33"/>
        <v>35.28</v>
      </c>
      <c r="Q78" s="30">
        <f t="shared" si="33"/>
        <v>25.919999999999998</v>
      </c>
      <c r="R78" s="30">
        <f t="shared" si="33"/>
        <v>72</v>
      </c>
      <c r="S78" s="30">
        <f t="shared" si="33"/>
        <v>46.08</v>
      </c>
      <c r="T78" s="30">
        <f t="shared" si="33"/>
        <v>35.28</v>
      </c>
      <c r="U78" s="30">
        <f t="shared" si="33"/>
        <v>25.919999999999998</v>
      </c>
      <c r="V78" s="30">
        <f t="shared" si="33"/>
        <v>72</v>
      </c>
      <c r="W78" s="30">
        <f t="shared" si="33"/>
        <v>46.08</v>
      </c>
      <c r="X78" s="30">
        <f t="shared" si="33"/>
        <v>35.28</v>
      </c>
      <c r="Y78" s="30">
        <f t="shared" si="33"/>
        <v>25.919999999999998</v>
      </c>
      <c r="Z78" s="30">
        <f t="shared" si="33"/>
        <v>72</v>
      </c>
      <c r="AA78" s="30">
        <f t="shared" si="33"/>
        <v>46.08</v>
      </c>
      <c r="AB78" s="30">
        <f t="shared" si="33"/>
        <v>35.28</v>
      </c>
      <c r="AC78" s="30">
        <f t="shared" si="33"/>
        <v>25.919999999999998</v>
      </c>
      <c r="AD78" s="30">
        <f t="shared" si="33"/>
        <v>72</v>
      </c>
      <c r="AE78" s="30">
        <f t="shared" si="33"/>
        <v>46.08</v>
      </c>
      <c r="AF78" s="30">
        <f t="shared" si="33"/>
        <v>35.28</v>
      </c>
      <c r="AG78" s="30">
        <f t="shared" si="33"/>
        <v>25.919999999999998</v>
      </c>
      <c r="AH78" s="30">
        <f t="shared" si="33"/>
        <v>72</v>
      </c>
      <c r="AI78" s="30">
        <f t="shared" si="33"/>
        <v>46.08</v>
      </c>
      <c r="AJ78" s="30">
        <f t="shared" si="33"/>
        <v>35.28</v>
      </c>
      <c r="AK78" s="30">
        <f t="shared" si="33"/>
        <v>25.919999999999998</v>
      </c>
      <c r="AL78" s="30">
        <f t="shared" si="33"/>
        <v>72</v>
      </c>
      <c r="AM78" s="30">
        <f t="shared" ref="AM78:BE78" si="34">AM76*$B74</f>
        <v>46.08</v>
      </c>
      <c r="AN78" s="30">
        <f t="shared" si="34"/>
        <v>35.28</v>
      </c>
      <c r="AO78" s="30">
        <f t="shared" si="34"/>
        <v>25.919999999999998</v>
      </c>
      <c r="AP78" s="30">
        <f t="shared" si="34"/>
        <v>72</v>
      </c>
      <c r="AQ78" s="30">
        <f t="shared" si="34"/>
        <v>46.08</v>
      </c>
      <c r="AR78" s="30">
        <f t="shared" si="34"/>
        <v>35.28</v>
      </c>
      <c r="AS78" s="30">
        <f t="shared" si="34"/>
        <v>25.919999999999998</v>
      </c>
      <c r="AT78" s="30">
        <f t="shared" si="34"/>
        <v>72</v>
      </c>
      <c r="AU78" s="30">
        <f t="shared" si="34"/>
        <v>46.08</v>
      </c>
      <c r="AV78" s="30">
        <f t="shared" si="34"/>
        <v>35.28</v>
      </c>
      <c r="AW78" s="30">
        <f t="shared" si="34"/>
        <v>25.919999999999998</v>
      </c>
      <c r="AX78" s="30">
        <f t="shared" si="34"/>
        <v>72</v>
      </c>
      <c r="AY78" s="30">
        <f t="shared" si="34"/>
        <v>46.08</v>
      </c>
      <c r="AZ78" s="30">
        <f t="shared" si="34"/>
        <v>35.28</v>
      </c>
      <c r="BA78" s="30">
        <f t="shared" si="34"/>
        <v>25.919999999999998</v>
      </c>
      <c r="BB78" s="30">
        <f t="shared" si="34"/>
        <v>72</v>
      </c>
      <c r="BC78" s="30">
        <f t="shared" si="34"/>
        <v>46.08</v>
      </c>
      <c r="BD78" s="30">
        <f t="shared" si="34"/>
        <v>35.28</v>
      </c>
      <c r="BE78" s="30">
        <f t="shared" si="34"/>
        <v>25.919999999999998</v>
      </c>
      <c r="BF78" s="80"/>
    </row>
    <row r="79" spans="1:58" x14ac:dyDescent="0.35">
      <c r="A79" s="28" t="s">
        <v>45</v>
      </c>
      <c r="B79" s="27">
        <v>6500</v>
      </c>
      <c r="C79" s="28" t="s">
        <v>53</v>
      </c>
      <c r="D79" s="27">
        <f t="shared" ref="D79:F79" si="35">D76*$B75</f>
        <v>8300</v>
      </c>
      <c r="E79" s="27">
        <f t="shared" si="35"/>
        <v>8300</v>
      </c>
      <c r="F79" s="27">
        <f t="shared" si="35"/>
        <v>5312</v>
      </c>
      <c r="G79" s="27">
        <f t="shared" ref="G79:AL79" si="36">G76*$B75</f>
        <v>8300</v>
      </c>
      <c r="H79" s="27">
        <f t="shared" si="36"/>
        <v>5312</v>
      </c>
      <c r="I79" s="27">
        <f t="shared" si="36"/>
        <v>4067</v>
      </c>
      <c r="J79" s="27">
        <f t="shared" si="36"/>
        <v>8300</v>
      </c>
      <c r="K79" s="27">
        <f t="shared" si="36"/>
        <v>5312</v>
      </c>
      <c r="L79" s="27">
        <f t="shared" si="36"/>
        <v>4067</v>
      </c>
      <c r="M79" s="27">
        <f t="shared" si="36"/>
        <v>2988</v>
      </c>
      <c r="N79" s="27">
        <f t="shared" si="36"/>
        <v>8300</v>
      </c>
      <c r="O79" s="27">
        <f t="shared" si="36"/>
        <v>5312</v>
      </c>
      <c r="P79" s="27">
        <f t="shared" si="36"/>
        <v>4067</v>
      </c>
      <c r="Q79" s="27">
        <f t="shared" si="36"/>
        <v>2988</v>
      </c>
      <c r="R79" s="27">
        <f t="shared" si="36"/>
        <v>8300</v>
      </c>
      <c r="S79" s="27">
        <f t="shared" si="36"/>
        <v>5312</v>
      </c>
      <c r="T79" s="27">
        <f t="shared" si="36"/>
        <v>4067</v>
      </c>
      <c r="U79" s="27">
        <f t="shared" si="36"/>
        <v>2988</v>
      </c>
      <c r="V79" s="27">
        <f t="shared" si="36"/>
        <v>8300</v>
      </c>
      <c r="W79" s="27">
        <f t="shared" si="36"/>
        <v>5312</v>
      </c>
      <c r="X79" s="27">
        <f t="shared" si="36"/>
        <v>4067</v>
      </c>
      <c r="Y79" s="27">
        <f t="shared" si="36"/>
        <v>2988</v>
      </c>
      <c r="Z79" s="27">
        <f t="shared" si="36"/>
        <v>8300</v>
      </c>
      <c r="AA79" s="27">
        <f t="shared" si="36"/>
        <v>5312</v>
      </c>
      <c r="AB79" s="27">
        <f t="shared" si="36"/>
        <v>4067</v>
      </c>
      <c r="AC79" s="27">
        <f t="shared" si="36"/>
        <v>2988</v>
      </c>
      <c r="AD79" s="27">
        <f t="shared" si="36"/>
        <v>8300</v>
      </c>
      <c r="AE79" s="27">
        <f t="shared" si="36"/>
        <v>5312</v>
      </c>
      <c r="AF79" s="27">
        <f t="shared" si="36"/>
        <v>4067</v>
      </c>
      <c r="AG79" s="27">
        <f t="shared" si="36"/>
        <v>2988</v>
      </c>
      <c r="AH79" s="27">
        <f t="shared" si="36"/>
        <v>8300</v>
      </c>
      <c r="AI79" s="27">
        <f t="shared" si="36"/>
        <v>5312</v>
      </c>
      <c r="AJ79" s="27">
        <f t="shared" si="36"/>
        <v>4067</v>
      </c>
      <c r="AK79" s="27">
        <f t="shared" si="36"/>
        <v>2988</v>
      </c>
      <c r="AL79" s="27">
        <f t="shared" si="36"/>
        <v>8300</v>
      </c>
      <c r="AM79" s="27">
        <f t="shared" ref="AM79:BE79" si="37">AM76*$B75</f>
        <v>5312</v>
      </c>
      <c r="AN79" s="27">
        <f t="shared" si="37"/>
        <v>4067</v>
      </c>
      <c r="AO79" s="27">
        <f t="shared" si="37"/>
        <v>2988</v>
      </c>
      <c r="AP79" s="27">
        <f t="shared" si="37"/>
        <v>8300</v>
      </c>
      <c r="AQ79" s="27">
        <f t="shared" si="37"/>
        <v>5312</v>
      </c>
      <c r="AR79" s="27">
        <f t="shared" si="37"/>
        <v>4067</v>
      </c>
      <c r="AS79" s="27">
        <f t="shared" si="37"/>
        <v>2988</v>
      </c>
      <c r="AT79" s="27">
        <f t="shared" si="37"/>
        <v>8300</v>
      </c>
      <c r="AU79" s="27">
        <f t="shared" si="37"/>
        <v>5312</v>
      </c>
      <c r="AV79" s="27">
        <f t="shared" si="37"/>
        <v>4067</v>
      </c>
      <c r="AW79" s="27">
        <f t="shared" si="37"/>
        <v>2988</v>
      </c>
      <c r="AX79" s="27">
        <f t="shared" si="37"/>
        <v>8300</v>
      </c>
      <c r="AY79" s="27">
        <f t="shared" si="37"/>
        <v>5312</v>
      </c>
      <c r="AZ79" s="27">
        <f t="shared" si="37"/>
        <v>4067</v>
      </c>
      <c r="BA79" s="27">
        <f t="shared" si="37"/>
        <v>2988</v>
      </c>
      <c r="BB79" s="27">
        <f t="shared" si="37"/>
        <v>8300</v>
      </c>
      <c r="BC79" s="27">
        <f t="shared" si="37"/>
        <v>5312</v>
      </c>
      <c r="BD79" s="27">
        <f t="shared" si="37"/>
        <v>4067</v>
      </c>
      <c r="BE79" s="27">
        <f t="shared" si="37"/>
        <v>2988</v>
      </c>
      <c r="BF79" s="80"/>
    </row>
    <row r="80" spans="1:58" x14ac:dyDescent="0.35">
      <c r="A80" s="28" t="s">
        <v>46</v>
      </c>
      <c r="B80" s="27">
        <v>180</v>
      </c>
      <c r="C80" s="28" t="s">
        <v>54</v>
      </c>
      <c r="D80" s="52">
        <v>4900</v>
      </c>
      <c r="E80" s="27">
        <v>4700</v>
      </c>
      <c r="F80" s="27">
        <v>3400</v>
      </c>
      <c r="G80" s="27">
        <v>4550</v>
      </c>
      <c r="H80" s="27">
        <v>3250</v>
      </c>
      <c r="I80" s="27">
        <v>2450</v>
      </c>
      <c r="J80" s="27">
        <v>4350</v>
      </c>
      <c r="K80" s="27">
        <v>3150</v>
      </c>
      <c r="L80" s="27">
        <v>2350</v>
      </c>
      <c r="M80" s="27">
        <v>1900</v>
      </c>
      <c r="N80" s="27">
        <v>4150</v>
      </c>
      <c r="O80" s="27">
        <v>3000</v>
      </c>
      <c r="P80" s="27">
        <v>2250</v>
      </c>
      <c r="Q80" s="27">
        <v>1800</v>
      </c>
      <c r="R80" s="27">
        <v>4000</v>
      </c>
      <c r="S80" s="27">
        <v>2950</v>
      </c>
      <c r="T80" s="27">
        <v>2100</v>
      </c>
      <c r="U80" s="27">
        <v>1750</v>
      </c>
      <c r="V80" s="27">
        <v>3900</v>
      </c>
      <c r="W80" s="27">
        <v>2900</v>
      </c>
      <c r="X80" s="27">
        <v>2150</v>
      </c>
      <c r="Y80" s="27">
        <v>1700</v>
      </c>
      <c r="Z80" s="27">
        <v>3750</v>
      </c>
      <c r="AA80" s="27">
        <v>2850</v>
      </c>
      <c r="AB80" s="27">
        <v>2050</v>
      </c>
      <c r="AC80" s="27">
        <v>1650</v>
      </c>
      <c r="AD80" s="27">
        <v>3600</v>
      </c>
      <c r="AE80" s="27">
        <v>2800</v>
      </c>
      <c r="AF80" s="27">
        <v>2000</v>
      </c>
      <c r="AG80" s="27">
        <v>1600</v>
      </c>
      <c r="AH80" s="27">
        <v>3550</v>
      </c>
      <c r="AI80" s="27">
        <v>2700</v>
      </c>
      <c r="AJ80" s="27">
        <v>1950</v>
      </c>
      <c r="AK80" s="27">
        <v>1550</v>
      </c>
      <c r="AL80" s="27">
        <v>3500</v>
      </c>
      <c r="AM80" s="27">
        <v>2650</v>
      </c>
      <c r="AN80" s="27">
        <v>1900</v>
      </c>
      <c r="AO80" s="27">
        <v>1500</v>
      </c>
      <c r="AP80" s="27">
        <v>3300</v>
      </c>
      <c r="AQ80" s="27">
        <v>2600</v>
      </c>
      <c r="AR80" s="27">
        <v>1850</v>
      </c>
      <c r="AS80" s="27">
        <v>1450</v>
      </c>
      <c r="AT80" s="27">
        <v>3200</v>
      </c>
      <c r="AU80" s="27">
        <v>2500</v>
      </c>
      <c r="AV80" s="27">
        <v>1800</v>
      </c>
      <c r="AW80" s="27">
        <v>1400</v>
      </c>
      <c r="AX80" s="27">
        <v>3150</v>
      </c>
      <c r="AY80" s="27">
        <v>2400</v>
      </c>
      <c r="AZ80" s="27">
        <v>1750</v>
      </c>
      <c r="BA80" s="27">
        <v>1350</v>
      </c>
      <c r="BB80" s="27">
        <v>3100</v>
      </c>
      <c r="BC80" s="27">
        <v>2300</v>
      </c>
      <c r="BD80" s="27">
        <v>1700</v>
      </c>
      <c r="BE80" s="27">
        <v>1300</v>
      </c>
      <c r="BF80" s="80"/>
    </row>
    <row r="82" spans="1:86" ht="21" x14ac:dyDescent="0.5">
      <c r="A82" s="47" t="s">
        <v>19</v>
      </c>
      <c r="B82" s="27"/>
      <c r="C82" s="15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</row>
    <row r="83" spans="1:86" x14ac:dyDescent="0.35">
      <c r="A83" s="28" t="s">
        <v>39</v>
      </c>
      <c r="B83" s="27">
        <v>0.12</v>
      </c>
      <c r="C83" s="29" t="s">
        <v>48</v>
      </c>
      <c r="D83" s="44">
        <v>70</v>
      </c>
      <c r="E83" s="71">
        <v>80</v>
      </c>
      <c r="F83" s="73"/>
      <c r="G83" s="71">
        <v>90</v>
      </c>
      <c r="H83" s="72"/>
      <c r="I83" s="73"/>
      <c r="J83" s="71">
        <v>100</v>
      </c>
      <c r="K83" s="72"/>
      <c r="L83" s="72"/>
      <c r="M83" s="73"/>
      <c r="N83" s="71">
        <v>110</v>
      </c>
      <c r="O83" s="72"/>
      <c r="P83" s="72"/>
      <c r="Q83" s="73"/>
      <c r="R83" s="71">
        <v>120</v>
      </c>
      <c r="S83" s="72"/>
      <c r="T83" s="72"/>
      <c r="U83" s="73"/>
      <c r="V83" s="71">
        <v>130</v>
      </c>
      <c r="W83" s="72"/>
      <c r="X83" s="73"/>
      <c r="Y83" s="71">
        <v>140</v>
      </c>
      <c r="Z83" s="72"/>
      <c r="AA83" s="73"/>
      <c r="AB83" s="71">
        <v>150</v>
      </c>
      <c r="AC83" s="72"/>
      <c r="AD83" s="73"/>
      <c r="AE83" s="71">
        <v>160</v>
      </c>
      <c r="AF83" s="72"/>
      <c r="AG83" s="73"/>
      <c r="AH83" s="71">
        <v>170</v>
      </c>
      <c r="AI83" s="72"/>
      <c r="AJ83" s="73"/>
      <c r="AK83" s="71">
        <v>180</v>
      </c>
      <c r="AL83" s="72"/>
      <c r="AM83" s="73"/>
      <c r="AN83" s="71">
        <v>190</v>
      </c>
      <c r="AO83" s="72"/>
      <c r="AP83" s="73"/>
      <c r="AQ83" s="71">
        <v>200</v>
      </c>
      <c r="AR83" s="72"/>
      <c r="AS83" s="73"/>
      <c r="AT83" s="71">
        <v>250</v>
      </c>
      <c r="AU83" s="72"/>
      <c r="AV83" s="73"/>
      <c r="AW83" s="71">
        <v>300</v>
      </c>
      <c r="AX83" s="72"/>
      <c r="AY83" s="73"/>
    </row>
    <row r="84" spans="1:86" x14ac:dyDescent="0.35">
      <c r="A84" s="28" t="s">
        <v>40</v>
      </c>
      <c r="B84" s="27">
        <v>1</v>
      </c>
      <c r="C84" s="28" t="s">
        <v>57</v>
      </c>
      <c r="D84" s="27">
        <v>120</v>
      </c>
      <c r="E84" s="27">
        <v>120</v>
      </c>
      <c r="F84" s="27">
        <v>140</v>
      </c>
      <c r="G84" s="27">
        <v>120</v>
      </c>
      <c r="H84" s="27">
        <v>140</v>
      </c>
      <c r="I84" s="27">
        <v>160</v>
      </c>
      <c r="J84" s="27">
        <v>120</v>
      </c>
      <c r="K84" s="27">
        <v>140</v>
      </c>
      <c r="L84" s="27">
        <v>160</v>
      </c>
      <c r="M84" s="27">
        <v>180</v>
      </c>
      <c r="N84" s="27">
        <v>120</v>
      </c>
      <c r="O84" s="27">
        <v>140</v>
      </c>
      <c r="P84" s="27">
        <v>160</v>
      </c>
      <c r="Q84" s="27">
        <v>180</v>
      </c>
      <c r="R84" s="27">
        <v>120</v>
      </c>
      <c r="S84" s="27">
        <v>140</v>
      </c>
      <c r="T84" s="27">
        <v>160</v>
      </c>
      <c r="U84" s="27">
        <v>180</v>
      </c>
      <c r="V84" s="27">
        <v>140</v>
      </c>
      <c r="W84" s="27">
        <v>160</v>
      </c>
      <c r="X84" s="27">
        <v>180</v>
      </c>
      <c r="Y84" s="27">
        <v>140</v>
      </c>
      <c r="Z84" s="27">
        <v>160</v>
      </c>
      <c r="AA84" s="27">
        <v>180</v>
      </c>
      <c r="AB84" s="27">
        <v>140</v>
      </c>
      <c r="AC84" s="27">
        <v>160</v>
      </c>
      <c r="AD84" s="27">
        <v>180</v>
      </c>
      <c r="AE84" s="27">
        <v>140</v>
      </c>
      <c r="AF84" s="27">
        <v>160</v>
      </c>
      <c r="AG84" s="27">
        <v>180</v>
      </c>
      <c r="AH84" s="27">
        <v>140</v>
      </c>
      <c r="AI84" s="27">
        <v>160</v>
      </c>
      <c r="AJ84" s="27">
        <v>180</v>
      </c>
      <c r="AK84" s="27">
        <v>140</v>
      </c>
      <c r="AL84" s="27">
        <v>160</v>
      </c>
      <c r="AM84" s="27">
        <v>180</v>
      </c>
      <c r="AN84" s="27">
        <v>140</v>
      </c>
      <c r="AO84" s="27">
        <v>160</v>
      </c>
      <c r="AP84" s="27">
        <v>180</v>
      </c>
      <c r="AQ84" s="27">
        <v>140</v>
      </c>
      <c r="AR84" s="27">
        <v>160</v>
      </c>
      <c r="AS84" s="27">
        <v>180</v>
      </c>
      <c r="AT84" s="27">
        <v>140</v>
      </c>
      <c r="AU84" s="27">
        <v>160</v>
      </c>
      <c r="AV84" s="27">
        <v>180</v>
      </c>
      <c r="AW84" s="27">
        <v>140</v>
      </c>
      <c r="AX84" s="27">
        <v>160</v>
      </c>
      <c r="AY84" s="27">
        <v>180</v>
      </c>
    </row>
    <row r="85" spans="1:86" x14ac:dyDescent="0.35">
      <c r="A85" s="28" t="s">
        <v>41</v>
      </c>
      <c r="B85" s="27">
        <v>115</v>
      </c>
      <c r="C85" s="28" t="s">
        <v>58</v>
      </c>
      <c r="D85" s="27">
        <v>120</v>
      </c>
      <c r="E85" s="27">
        <v>120</v>
      </c>
      <c r="F85" s="27">
        <v>140</v>
      </c>
      <c r="G85" s="27">
        <v>120</v>
      </c>
      <c r="H85" s="27">
        <v>140</v>
      </c>
      <c r="I85" s="27">
        <v>160</v>
      </c>
      <c r="J85" s="27">
        <v>120</v>
      </c>
      <c r="K85" s="27">
        <v>140</v>
      </c>
      <c r="L85" s="27">
        <v>160</v>
      </c>
      <c r="M85" s="27">
        <v>180</v>
      </c>
      <c r="N85" s="27">
        <v>120</v>
      </c>
      <c r="O85" s="27">
        <v>140</v>
      </c>
      <c r="P85" s="27">
        <v>160</v>
      </c>
      <c r="Q85" s="27">
        <v>180</v>
      </c>
      <c r="R85" s="27">
        <v>120</v>
      </c>
      <c r="S85" s="27">
        <v>140</v>
      </c>
      <c r="T85" s="27">
        <v>160</v>
      </c>
      <c r="U85" s="27">
        <v>180</v>
      </c>
      <c r="V85" s="27">
        <v>140</v>
      </c>
      <c r="W85" s="27">
        <v>160</v>
      </c>
      <c r="X85" s="27">
        <v>180</v>
      </c>
      <c r="Y85" s="27">
        <v>140</v>
      </c>
      <c r="Z85" s="27">
        <v>160</v>
      </c>
      <c r="AA85" s="27">
        <v>180</v>
      </c>
      <c r="AB85" s="27">
        <v>140</v>
      </c>
      <c r="AC85" s="27">
        <v>160</v>
      </c>
      <c r="AD85" s="27">
        <v>180</v>
      </c>
      <c r="AE85" s="27">
        <v>140</v>
      </c>
      <c r="AF85" s="27">
        <v>160</v>
      </c>
      <c r="AG85" s="27">
        <v>180</v>
      </c>
      <c r="AH85" s="27">
        <v>140</v>
      </c>
      <c r="AI85" s="27">
        <v>160</v>
      </c>
      <c r="AJ85" s="27">
        <v>180</v>
      </c>
      <c r="AK85" s="27">
        <v>140</v>
      </c>
      <c r="AL85" s="27">
        <v>160</v>
      </c>
      <c r="AM85" s="27">
        <v>180</v>
      </c>
      <c r="AN85" s="27">
        <v>140</v>
      </c>
      <c r="AO85" s="27">
        <v>160</v>
      </c>
      <c r="AP85" s="27">
        <v>180</v>
      </c>
      <c r="AQ85" s="27">
        <v>140</v>
      </c>
      <c r="AR85" s="27">
        <v>160</v>
      </c>
      <c r="AS85" s="27">
        <v>180</v>
      </c>
      <c r="AT85" s="27">
        <v>140</v>
      </c>
      <c r="AU85" s="27">
        <v>160</v>
      </c>
      <c r="AV85" s="27">
        <v>180</v>
      </c>
      <c r="AW85" s="27">
        <v>140</v>
      </c>
      <c r="AX85" s="27">
        <v>160</v>
      </c>
      <c r="AY85" s="27">
        <v>180</v>
      </c>
    </row>
    <row r="86" spans="1:86" x14ac:dyDescent="0.35">
      <c r="A86" s="28" t="s">
        <v>42</v>
      </c>
      <c r="B86" s="27">
        <v>66</v>
      </c>
      <c r="C86" s="28" t="s">
        <v>50</v>
      </c>
      <c r="D86" s="30">
        <f t="shared" ref="D86:Q86" si="38">ROUND((1000/D84),)^2</f>
        <v>64</v>
      </c>
      <c r="E86" s="30">
        <f t="shared" si="38"/>
        <v>64</v>
      </c>
      <c r="F86" s="30">
        <f t="shared" si="38"/>
        <v>49</v>
      </c>
      <c r="G86" s="30">
        <f t="shared" si="38"/>
        <v>64</v>
      </c>
      <c r="H86" s="30">
        <f t="shared" si="38"/>
        <v>49</v>
      </c>
      <c r="I86" s="30">
        <f t="shared" si="38"/>
        <v>36</v>
      </c>
      <c r="J86" s="30">
        <f t="shared" si="38"/>
        <v>64</v>
      </c>
      <c r="K86" s="30">
        <f t="shared" si="38"/>
        <v>49</v>
      </c>
      <c r="L86" s="30">
        <f t="shared" si="38"/>
        <v>36</v>
      </c>
      <c r="M86" s="30">
        <f t="shared" si="38"/>
        <v>36</v>
      </c>
      <c r="N86" s="30">
        <f t="shared" si="38"/>
        <v>64</v>
      </c>
      <c r="O86" s="30">
        <f t="shared" si="38"/>
        <v>49</v>
      </c>
      <c r="P86" s="30">
        <f t="shared" si="38"/>
        <v>36</v>
      </c>
      <c r="Q86" s="30">
        <f t="shared" si="38"/>
        <v>36</v>
      </c>
      <c r="R86" s="30">
        <f t="shared" ref="R86:AY86" si="39">ROUND((1000/R84),)^2</f>
        <v>64</v>
      </c>
      <c r="S86" s="30">
        <f t="shared" si="39"/>
        <v>49</v>
      </c>
      <c r="T86" s="30">
        <f t="shared" si="39"/>
        <v>36</v>
      </c>
      <c r="U86" s="30">
        <f t="shared" si="39"/>
        <v>36</v>
      </c>
      <c r="V86" s="30">
        <f t="shared" si="39"/>
        <v>49</v>
      </c>
      <c r="W86" s="30">
        <f t="shared" si="39"/>
        <v>36</v>
      </c>
      <c r="X86" s="30">
        <f t="shared" si="39"/>
        <v>36</v>
      </c>
      <c r="Y86" s="30">
        <f t="shared" si="39"/>
        <v>49</v>
      </c>
      <c r="Z86" s="30">
        <f t="shared" si="39"/>
        <v>36</v>
      </c>
      <c r="AA86" s="30">
        <f t="shared" si="39"/>
        <v>36</v>
      </c>
      <c r="AB86" s="30">
        <f t="shared" si="39"/>
        <v>49</v>
      </c>
      <c r="AC86" s="30">
        <f t="shared" si="39"/>
        <v>36</v>
      </c>
      <c r="AD86" s="30">
        <f t="shared" si="39"/>
        <v>36</v>
      </c>
      <c r="AE86" s="30">
        <f t="shared" si="39"/>
        <v>49</v>
      </c>
      <c r="AF86" s="30">
        <f t="shared" si="39"/>
        <v>36</v>
      </c>
      <c r="AG86" s="30">
        <f t="shared" si="39"/>
        <v>36</v>
      </c>
      <c r="AH86" s="30">
        <f t="shared" si="39"/>
        <v>49</v>
      </c>
      <c r="AI86" s="30">
        <f t="shared" si="39"/>
        <v>36</v>
      </c>
      <c r="AJ86" s="30">
        <f t="shared" si="39"/>
        <v>36</v>
      </c>
      <c r="AK86" s="30">
        <f t="shared" si="39"/>
        <v>49</v>
      </c>
      <c r="AL86" s="30">
        <f t="shared" si="39"/>
        <v>36</v>
      </c>
      <c r="AM86" s="30">
        <f t="shared" si="39"/>
        <v>36</v>
      </c>
      <c r="AN86" s="30">
        <f t="shared" si="39"/>
        <v>49</v>
      </c>
      <c r="AO86" s="30">
        <f t="shared" si="39"/>
        <v>36</v>
      </c>
      <c r="AP86" s="30">
        <f t="shared" si="39"/>
        <v>36</v>
      </c>
      <c r="AQ86" s="30">
        <f t="shared" si="39"/>
        <v>49</v>
      </c>
      <c r="AR86" s="30">
        <f t="shared" si="39"/>
        <v>36</v>
      </c>
      <c r="AS86" s="30">
        <f t="shared" si="39"/>
        <v>36</v>
      </c>
      <c r="AT86" s="30">
        <f t="shared" si="39"/>
        <v>49</v>
      </c>
      <c r="AU86" s="30">
        <f t="shared" si="39"/>
        <v>36</v>
      </c>
      <c r="AV86" s="30">
        <f t="shared" si="39"/>
        <v>36</v>
      </c>
      <c r="AW86" s="30">
        <f t="shared" si="39"/>
        <v>49</v>
      </c>
      <c r="AX86" s="30">
        <f t="shared" si="39"/>
        <v>36</v>
      </c>
      <c r="AY86" s="30">
        <f t="shared" si="39"/>
        <v>36</v>
      </c>
    </row>
    <row r="87" spans="1:86" x14ac:dyDescent="0.35">
      <c r="A87" s="28" t="s">
        <v>43</v>
      </c>
      <c r="B87" s="27">
        <v>165</v>
      </c>
      <c r="C87" s="28" t="s">
        <v>51</v>
      </c>
      <c r="D87" s="30">
        <f t="shared" ref="D87:AY87" si="40">D86*$B$83</f>
        <v>7.68</v>
      </c>
      <c r="E87" s="30">
        <f t="shared" si="40"/>
        <v>7.68</v>
      </c>
      <c r="F87" s="30">
        <f t="shared" si="40"/>
        <v>5.88</v>
      </c>
      <c r="G87" s="30">
        <f t="shared" si="40"/>
        <v>7.68</v>
      </c>
      <c r="H87" s="30">
        <f t="shared" si="40"/>
        <v>5.88</v>
      </c>
      <c r="I87" s="30">
        <f t="shared" si="40"/>
        <v>4.32</v>
      </c>
      <c r="J87" s="30">
        <f t="shared" si="40"/>
        <v>7.68</v>
      </c>
      <c r="K87" s="30">
        <f t="shared" si="40"/>
        <v>5.88</v>
      </c>
      <c r="L87" s="30">
        <f t="shared" si="40"/>
        <v>4.32</v>
      </c>
      <c r="M87" s="30">
        <f t="shared" si="40"/>
        <v>4.32</v>
      </c>
      <c r="N87" s="30">
        <f t="shared" si="40"/>
        <v>7.68</v>
      </c>
      <c r="O87" s="30">
        <f t="shared" si="40"/>
        <v>5.88</v>
      </c>
      <c r="P87" s="30">
        <f t="shared" si="40"/>
        <v>4.32</v>
      </c>
      <c r="Q87" s="30">
        <f t="shared" si="40"/>
        <v>4.32</v>
      </c>
      <c r="R87" s="30">
        <f t="shared" si="40"/>
        <v>7.68</v>
      </c>
      <c r="S87" s="30">
        <f t="shared" si="40"/>
        <v>5.88</v>
      </c>
      <c r="T87" s="30">
        <f t="shared" si="40"/>
        <v>4.32</v>
      </c>
      <c r="U87" s="30">
        <f t="shared" si="40"/>
        <v>4.32</v>
      </c>
      <c r="V87" s="30">
        <f t="shared" si="40"/>
        <v>5.88</v>
      </c>
      <c r="W87" s="30">
        <f t="shared" si="40"/>
        <v>4.32</v>
      </c>
      <c r="X87" s="30">
        <f t="shared" si="40"/>
        <v>4.32</v>
      </c>
      <c r="Y87" s="30">
        <f t="shared" si="40"/>
        <v>5.88</v>
      </c>
      <c r="Z87" s="30">
        <f t="shared" si="40"/>
        <v>4.32</v>
      </c>
      <c r="AA87" s="30">
        <f t="shared" si="40"/>
        <v>4.32</v>
      </c>
      <c r="AB87" s="30">
        <f t="shared" si="40"/>
        <v>5.88</v>
      </c>
      <c r="AC87" s="30">
        <f t="shared" si="40"/>
        <v>4.32</v>
      </c>
      <c r="AD87" s="30">
        <f t="shared" si="40"/>
        <v>4.32</v>
      </c>
      <c r="AE87" s="30">
        <f t="shared" si="40"/>
        <v>5.88</v>
      </c>
      <c r="AF87" s="30">
        <f t="shared" si="40"/>
        <v>4.32</v>
      </c>
      <c r="AG87" s="30">
        <f t="shared" si="40"/>
        <v>4.32</v>
      </c>
      <c r="AH87" s="30">
        <f t="shared" si="40"/>
        <v>5.88</v>
      </c>
      <c r="AI87" s="30">
        <f t="shared" si="40"/>
        <v>4.32</v>
      </c>
      <c r="AJ87" s="30">
        <f t="shared" si="40"/>
        <v>4.32</v>
      </c>
      <c r="AK87" s="30">
        <f t="shared" si="40"/>
        <v>5.88</v>
      </c>
      <c r="AL87" s="30">
        <f t="shared" si="40"/>
        <v>4.32</v>
      </c>
      <c r="AM87" s="30">
        <f t="shared" si="40"/>
        <v>4.32</v>
      </c>
      <c r="AN87" s="30">
        <f t="shared" si="40"/>
        <v>5.88</v>
      </c>
      <c r="AO87" s="30">
        <f t="shared" si="40"/>
        <v>4.32</v>
      </c>
      <c r="AP87" s="30">
        <f t="shared" si="40"/>
        <v>4.32</v>
      </c>
      <c r="AQ87" s="30">
        <f t="shared" si="40"/>
        <v>5.88</v>
      </c>
      <c r="AR87" s="30">
        <f t="shared" si="40"/>
        <v>4.32</v>
      </c>
      <c r="AS87" s="30">
        <f t="shared" si="40"/>
        <v>4.32</v>
      </c>
      <c r="AT87" s="30">
        <f t="shared" si="40"/>
        <v>5.88</v>
      </c>
      <c r="AU87" s="30">
        <f t="shared" si="40"/>
        <v>4.32</v>
      </c>
      <c r="AV87" s="30">
        <f t="shared" si="40"/>
        <v>4.32</v>
      </c>
      <c r="AW87" s="30">
        <f t="shared" si="40"/>
        <v>5.88</v>
      </c>
      <c r="AX87" s="30">
        <f t="shared" si="40"/>
        <v>4.32</v>
      </c>
      <c r="AY87" s="30">
        <f t="shared" si="40"/>
        <v>4.32</v>
      </c>
    </row>
    <row r="88" spans="1:86" x14ac:dyDescent="0.35">
      <c r="A88" s="28" t="s">
        <v>44</v>
      </c>
      <c r="B88" s="27">
        <v>5</v>
      </c>
      <c r="C88" s="28" t="s">
        <v>52</v>
      </c>
      <c r="D88" s="30">
        <f t="shared" ref="D88:F88" si="41">D86*$B84</f>
        <v>64</v>
      </c>
      <c r="E88" s="30">
        <f t="shared" si="41"/>
        <v>64</v>
      </c>
      <c r="F88" s="30">
        <f t="shared" si="41"/>
        <v>49</v>
      </c>
      <c r="G88" s="30">
        <f t="shared" ref="G88:AY88" si="42">G86*$B84</f>
        <v>64</v>
      </c>
      <c r="H88" s="30">
        <f t="shared" si="42"/>
        <v>49</v>
      </c>
      <c r="I88" s="30">
        <f t="shared" si="42"/>
        <v>36</v>
      </c>
      <c r="J88" s="30">
        <f t="shared" si="42"/>
        <v>64</v>
      </c>
      <c r="K88" s="30">
        <f t="shared" si="42"/>
        <v>49</v>
      </c>
      <c r="L88" s="30">
        <f t="shared" si="42"/>
        <v>36</v>
      </c>
      <c r="M88" s="30">
        <f t="shared" si="42"/>
        <v>36</v>
      </c>
      <c r="N88" s="30">
        <f t="shared" si="42"/>
        <v>64</v>
      </c>
      <c r="O88" s="30">
        <f t="shared" si="42"/>
        <v>49</v>
      </c>
      <c r="P88" s="30">
        <f t="shared" si="42"/>
        <v>36</v>
      </c>
      <c r="Q88" s="30">
        <f t="shared" si="42"/>
        <v>36</v>
      </c>
      <c r="R88" s="30">
        <f t="shared" si="42"/>
        <v>64</v>
      </c>
      <c r="S88" s="30">
        <f t="shared" si="42"/>
        <v>49</v>
      </c>
      <c r="T88" s="30">
        <f t="shared" si="42"/>
        <v>36</v>
      </c>
      <c r="U88" s="30">
        <f t="shared" si="42"/>
        <v>36</v>
      </c>
      <c r="V88" s="30">
        <f t="shared" si="42"/>
        <v>49</v>
      </c>
      <c r="W88" s="30">
        <f t="shared" si="42"/>
        <v>36</v>
      </c>
      <c r="X88" s="30">
        <f t="shared" si="42"/>
        <v>36</v>
      </c>
      <c r="Y88" s="30">
        <f t="shared" si="42"/>
        <v>49</v>
      </c>
      <c r="Z88" s="30">
        <f t="shared" si="42"/>
        <v>36</v>
      </c>
      <c r="AA88" s="30">
        <f t="shared" si="42"/>
        <v>36</v>
      </c>
      <c r="AB88" s="30">
        <f t="shared" si="42"/>
        <v>49</v>
      </c>
      <c r="AC88" s="30">
        <f t="shared" si="42"/>
        <v>36</v>
      </c>
      <c r="AD88" s="30">
        <f t="shared" si="42"/>
        <v>36</v>
      </c>
      <c r="AE88" s="30">
        <f t="shared" si="42"/>
        <v>49</v>
      </c>
      <c r="AF88" s="30">
        <f t="shared" si="42"/>
        <v>36</v>
      </c>
      <c r="AG88" s="30">
        <f t="shared" si="42"/>
        <v>36</v>
      </c>
      <c r="AH88" s="30">
        <f t="shared" si="42"/>
        <v>49</v>
      </c>
      <c r="AI88" s="30">
        <f t="shared" si="42"/>
        <v>36</v>
      </c>
      <c r="AJ88" s="30">
        <f t="shared" si="42"/>
        <v>36</v>
      </c>
      <c r="AK88" s="30">
        <f t="shared" si="42"/>
        <v>49</v>
      </c>
      <c r="AL88" s="30">
        <f t="shared" si="42"/>
        <v>36</v>
      </c>
      <c r="AM88" s="30">
        <f t="shared" si="42"/>
        <v>36</v>
      </c>
      <c r="AN88" s="30">
        <f t="shared" si="42"/>
        <v>49</v>
      </c>
      <c r="AO88" s="30">
        <f t="shared" si="42"/>
        <v>36</v>
      </c>
      <c r="AP88" s="30">
        <f t="shared" si="42"/>
        <v>36</v>
      </c>
      <c r="AQ88" s="30">
        <f t="shared" si="42"/>
        <v>49</v>
      </c>
      <c r="AR88" s="30">
        <f t="shared" si="42"/>
        <v>36</v>
      </c>
      <c r="AS88" s="30">
        <f t="shared" si="42"/>
        <v>36</v>
      </c>
      <c r="AT88" s="30">
        <f t="shared" si="42"/>
        <v>49</v>
      </c>
      <c r="AU88" s="30">
        <f t="shared" si="42"/>
        <v>36</v>
      </c>
      <c r="AV88" s="30">
        <f t="shared" si="42"/>
        <v>36</v>
      </c>
      <c r="AW88" s="30">
        <f t="shared" si="42"/>
        <v>49</v>
      </c>
      <c r="AX88" s="30">
        <f t="shared" si="42"/>
        <v>36</v>
      </c>
      <c r="AY88" s="30">
        <f t="shared" si="42"/>
        <v>36</v>
      </c>
    </row>
    <row r="89" spans="1:86" x14ac:dyDescent="0.35">
      <c r="A89" s="28" t="s">
        <v>45</v>
      </c>
      <c r="B89" s="27">
        <v>6500</v>
      </c>
      <c r="C89" s="28" t="s">
        <v>53</v>
      </c>
      <c r="D89" s="27">
        <f t="shared" ref="D89:F89" si="43">D86*$B85</f>
        <v>7360</v>
      </c>
      <c r="E89" s="27">
        <f t="shared" si="43"/>
        <v>7360</v>
      </c>
      <c r="F89" s="27">
        <f t="shared" si="43"/>
        <v>5635</v>
      </c>
      <c r="G89" s="27">
        <f t="shared" ref="G89:AY89" si="44">G86*$B85</f>
        <v>7360</v>
      </c>
      <c r="H89" s="27">
        <f t="shared" si="44"/>
        <v>5635</v>
      </c>
      <c r="I89" s="27">
        <f t="shared" si="44"/>
        <v>4140</v>
      </c>
      <c r="J89" s="27">
        <f t="shared" si="44"/>
        <v>7360</v>
      </c>
      <c r="K89" s="27">
        <f t="shared" si="44"/>
        <v>5635</v>
      </c>
      <c r="L89" s="27">
        <f t="shared" si="44"/>
        <v>4140</v>
      </c>
      <c r="M89" s="27">
        <f t="shared" si="44"/>
        <v>4140</v>
      </c>
      <c r="N89" s="27">
        <f t="shared" si="44"/>
        <v>7360</v>
      </c>
      <c r="O89" s="27">
        <f t="shared" si="44"/>
        <v>5635</v>
      </c>
      <c r="P89" s="27">
        <f t="shared" si="44"/>
        <v>4140</v>
      </c>
      <c r="Q89" s="27">
        <f t="shared" si="44"/>
        <v>4140</v>
      </c>
      <c r="R89" s="27">
        <f t="shared" si="44"/>
        <v>7360</v>
      </c>
      <c r="S89" s="27">
        <f t="shared" si="44"/>
        <v>5635</v>
      </c>
      <c r="T89" s="27">
        <f t="shared" si="44"/>
        <v>4140</v>
      </c>
      <c r="U89" s="27">
        <f t="shared" si="44"/>
        <v>4140</v>
      </c>
      <c r="V89" s="27">
        <f t="shared" si="44"/>
        <v>5635</v>
      </c>
      <c r="W89" s="27">
        <f t="shared" si="44"/>
        <v>4140</v>
      </c>
      <c r="X89" s="27">
        <f t="shared" si="44"/>
        <v>4140</v>
      </c>
      <c r="Y89" s="27">
        <f t="shared" si="44"/>
        <v>5635</v>
      </c>
      <c r="Z89" s="27">
        <f t="shared" si="44"/>
        <v>4140</v>
      </c>
      <c r="AA89" s="27">
        <f t="shared" si="44"/>
        <v>4140</v>
      </c>
      <c r="AB89" s="27">
        <f t="shared" si="44"/>
        <v>5635</v>
      </c>
      <c r="AC89" s="27">
        <f t="shared" si="44"/>
        <v>4140</v>
      </c>
      <c r="AD89" s="27">
        <f t="shared" si="44"/>
        <v>4140</v>
      </c>
      <c r="AE89" s="27">
        <f t="shared" si="44"/>
        <v>5635</v>
      </c>
      <c r="AF89" s="27">
        <f t="shared" si="44"/>
        <v>4140</v>
      </c>
      <c r="AG89" s="27">
        <f t="shared" si="44"/>
        <v>4140</v>
      </c>
      <c r="AH89" s="27">
        <f t="shared" si="44"/>
        <v>5635</v>
      </c>
      <c r="AI89" s="27">
        <f t="shared" si="44"/>
        <v>4140</v>
      </c>
      <c r="AJ89" s="27">
        <f t="shared" si="44"/>
        <v>4140</v>
      </c>
      <c r="AK89" s="27">
        <f t="shared" si="44"/>
        <v>5635</v>
      </c>
      <c r="AL89" s="27">
        <f t="shared" si="44"/>
        <v>4140</v>
      </c>
      <c r="AM89" s="27">
        <f t="shared" si="44"/>
        <v>4140</v>
      </c>
      <c r="AN89" s="27">
        <f t="shared" si="44"/>
        <v>5635</v>
      </c>
      <c r="AO89" s="27">
        <f t="shared" si="44"/>
        <v>4140</v>
      </c>
      <c r="AP89" s="27">
        <f t="shared" si="44"/>
        <v>4140</v>
      </c>
      <c r="AQ89" s="27">
        <f t="shared" si="44"/>
        <v>5635</v>
      </c>
      <c r="AR89" s="27">
        <f t="shared" si="44"/>
        <v>4140</v>
      </c>
      <c r="AS89" s="27">
        <f t="shared" si="44"/>
        <v>4140</v>
      </c>
      <c r="AT89" s="27">
        <f t="shared" si="44"/>
        <v>5635</v>
      </c>
      <c r="AU89" s="27">
        <f t="shared" si="44"/>
        <v>4140</v>
      </c>
      <c r="AV89" s="27">
        <f t="shared" si="44"/>
        <v>4140</v>
      </c>
      <c r="AW89" s="27">
        <f t="shared" si="44"/>
        <v>5635</v>
      </c>
      <c r="AX89" s="27">
        <f t="shared" si="44"/>
        <v>4140</v>
      </c>
      <c r="AY89" s="27">
        <f t="shared" si="44"/>
        <v>4140</v>
      </c>
    </row>
    <row r="90" spans="1:86" x14ac:dyDescent="0.35">
      <c r="A90" s="28" t="s">
        <v>46</v>
      </c>
      <c r="B90" s="27">
        <v>200</v>
      </c>
      <c r="C90" s="28" t="s">
        <v>54</v>
      </c>
      <c r="D90" s="49">
        <v>4200</v>
      </c>
      <c r="E90" s="27">
        <v>4100</v>
      </c>
      <c r="F90" s="27">
        <v>3000</v>
      </c>
      <c r="G90" s="27">
        <v>4000</v>
      </c>
      <c r="H90" s="27">
        <v>2900</v>
      </c>
      <c r="I90" s="27">
        <v>2400</v>
      </c>
      <c r="J90" s="27">
        <v>3800</v>
      </c>
      <c r="K90" s="27">
        <v>2800</v>
      </c>
      <c r="L90" s="27">
        <v>2300</v>
      </c>
      <c r="M90" s="27">
        <v>1800</v>
      </c>
      <c r="N90" s="27">
        <v>3700</v>
      </c>
      <c r="O90" s="27">
        <v>2750</v>
      </c>
      <c r="P90" s="27">
        <v>2200</v>
      </c>
      <c r="Q90" s="27">
        <v>1700</v>
      </c>
      <c r="R90" s="27">
        <v>3600</v>
      </c>
      <c r="S90" s="27">
        <v>2700</v>
      </c>
      <c r="T90" s="27">
        <v>2100</v>
      </c>
      <c r="U90" s="27">
        <v>1650</v>
      </c>
      <c r="V90" s="27">
        <v>2650</v>
      </c>
      <c r="W90" s="27">
        <v>2050</v>
      </c>
      <c r="X90" s="27">
        <v>1630</v>
      </c>
      <c r="Y90" s="27">
        <v>2600</v>
      </c>
      <c r="Z90" s="27">
        <v>2000</v>
      </c>
      <c r="AA90" s="27">
        <v>1600</v>
      </c>
      <c r="AB90" s="27">
        <v>2500</v>
      </c>
      <c r="AC90" s="27">
        <v>1950</v>
      </c>
      <c r="AD90" s="27">
        <v>1550</v>
      </c>
      <c r="AE90" s="27">
        <v>2450</v>
      </c>
      <c r="AF90" s="27">
        <v>1900</v>
      </c>
      <c r="AG90" s="27">
        <v>1500</v>
      </c>
      <c r="AH90" s="27">
        <v>2400</v>
      </c>
      <c r="AI90" s="27">
        <v>1850</v>
      </c>
      <c r="AJ90" s="27">
        <v>1450</v>
      </c>
      <c r="AK90" s="27">
        <v>2300</v>
      </c>
      <c r="AL90" s="27">
        <v>1800</v>
      </c>
      <c r="AM90" s="27">
        <v>1400</v>
      </c>
      <c r="AN90" s="27">
        <v>2250</v>
      </c>
      <c r="AO90" s="27">
        <v>1750</v>
      </c>
      <c r="AP90" s="27">
        <v>1370</v>
      </c>
      <c r="AQ90" s="27">
        <v>2200</v>
      </c>
      <c r="AR90" s="27">
        <v>1700</v>
      </c>
      <c r="AS90" s="27">
        <v>1350</v>
      </c>
      <c r="AT90" s="27">
        <v>2000</v>
      </c>
      <c r="AU90" s="27">
        <v>1550</v>
      </c>
      <c r="AV90" s="27">
        <v>1200</v>
      </c>
      <c r="AW90" s="27">
        <v>1800</v>
      </c>
      <c r="AX90" s="27">
        <v>1400</v>
      </c>
      <c r="AY90" s="27">
        <v>1050</v>
      </c>
    </row>
    <row r="91" spans="1:86" x14ac:dyDescent="0.35">
      <c r="A91" s="15"/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27"/>
      <c r="Y91" s="27"/>
      <c r="Z91" s="27"/>
      <c r="AA91" s="27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</row>
    <row r="92" spans="1:86" ht="21" x14ac:dyDescent="0.5">
      <c r="A92" s="47" t="s">
        <v>20</v>
      </c>
      <c r="B92" s="27"/>
      <c r="C92" s="15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</row>
    <row r="93" spans="1:86" x14ac:dyDescent="0.35">
      <c r="A93" s="28" t="s">
        <v>39</v>
      </c>
      <c r="B93" s="27">
        <v>0.15</v>
      </c>
      <c r="C93" s="29" t="s">
        <v>48</v>
      </c>
      <c r="D93" s="45">
        <v>80</v>
      </c>
      <c r="E93" s="69">
        <v>90</v>
      </c>
      <c r="F93" s="70"/>
      <c r="G93" s="68">
        <v>100</v>
      </c>
      <c r="H93" s="69"/>
      <c r="I93" s="70"/>
      <c r="J93" s="68">
        <v>110</v>
      </c>
      <c r="K93" s="69"/>
      <c r="L93" s="69"/>
      <c r="M93" s="70"/>
      <c r="N93" s="68">
        <v>120</v>
      </c>
      <c r="O93" s="69"/>
      <c r="P93" s="69"/>
      <c r="Q93" s="69"/>
      <c r="R93" s="70"/>
      <c r="S93" s="68">
        <v>130</v>
      </c>
      <c r="T93" s="69"/>
      <c r="U93" s="69"/>
      <c r="V93" s="69"/>
      <c r="W93" s="70"/>
      <c r="X93" s="68">
        <v>140</v>
      </c>
      <c r="Y93" s="69"/>
      <c r="Z93" s="69"/>
      <c r="AA93" s="69"/>
      <c r="AB93" s="70"/>
      <c r="AC93" s="68">
        <v>150</v>
      </c>
      <c r="AD93" s="69"/>
      <c r="AE93" s="69"/>
      <c r="AF93" s="69"/>
      <c r="AG93" s="70"/>
      <c r="AH93" s="68">
        <v>160</v>
      </c>
      <c r="AI93" s="69"/>
      <c r="AJ93" s="69"/>
      <c r="AK93" s="69"/>
      <c r="AL93" s="70"/>
      <c r="AM93" s="68">
        <v>170</v>
      </c>
      <c r="AN93" s="69"/>
      <c r="AO93" s="69"/>
      <c r="AP93" s="69"/>
      <c r="AQ93" s="70"/>
      <c r="AR93" s="68">
        <v>180</v>
      </c>
      <c r="AS93" s="69"/>
      <c r="AT93" s="69"/>
      <c r="AU93" s="69"/>
      <c r="AV93" s="70"/>
      <c r="AW93" s="68">
        <v>190</v>
      </c>
      <c r="AX93" s="69"/>
      <c r="AY93" s="69"/>
      <c r="AZ93" s="69"/>
      <c r="BA93" s="70"/>
      <c r="BB93" s="68">
        <v>200</v>
      </c>
      <c r="BC93" s="69"/>
      <c r="BD93" s="69"/>
      <c r="BE93" s="69"/>
      <c r="BF93" s="70"/>
      <c r="BG93" s="68">
        <v>250</v>
      </c>
      <c r="BH93" s="69"/>
      <c r="BI93" s="69"/>
      <c r="BJ93" s="69"/>
      <c r="BK93" s="70"/>
      <c r="BL93" s="68">
        <v>300</v>
      </c>
      <c r="BM93" s="69"/>
      <c r="BN93" s="69"/>
      <c r="BO93" s="69"/>
      <c r="BP93" s="70"/>
    </row>
    <row r="94" spans="1:86" x14ac:dyDescent="0.35">
      <c r="A94" s="28" t="s">
        <v>40</v>
      </c>
      <c r="B94" s="27">
        <v>1.5</v>
      </c>
      <c r="C94" s="28" t="s">
        <v>57</v>
      </c>
      <c r="D94" s="25">
        <v>140</v>
      </c>
      <c r="E94" s="25">
        <v>140</v>
      </c>
      <c r="F94" s="25">
        <v>160</v>
      </c>
      <c r="G94" s="25">
        <v>140</v>
      </c>
      <c r="H94" s="25">
        <v>160</v>
      </c>
      <c r="I94" s="25">
        <v>180</v>
      </c>
      <c r="J94" s="25">
        <v>140</v>
      </c>
      <c r="K94" s="25">
        <v>160</v>
      </c>
      <c r="L94" s="25">
        <v>180</v>
      </c>
      <c r="M94" s="25">
        <v>200</v>
      </c>
      <c r="N94" s="25">
        <v>140</v>
      </c>
      <c r="O94" s="25">
        <v>160</v>
      </c>
      <c r="P94" s="25">
        <v>180</v>
      </c>
      <c r="Q94" s="25">
        <v>200</v>
      </c>
      <c r="R94" s="25">
        <v>220</v>
      </c>
      <c r="S94" s="25">
        <v>140</v>
      </c>
      <c r="T94" s="25">
        <v>160</v>
      </c>
      <c r="U94" s="25">
        <v>180</v>
      </c>
      <c r="V94" s="25">
        <v>200</v>
      </c>
      <c r="W94" s="25">
        <v>220</v>
      </c>
      <c r="X94" s="25">
        <v>140</v>
      </c>
      <c r="Y94" s="25">
        <v>160</v>
      </c>
      <c r="Z94" s="25">
        <v>180</v>
      </c>
      <c r="AA94" s="25">
        <v>200</v>
      </c>
      <c r="AB94" s="25">
        <v>220</v>
      </c>
      <c r="AC94" s="25">
        <v>140</v>
      </c>
      <c r="AD94" s="25">
        <v>160</v>
      </c>
      <c r="AE94" s="25">
        <v>180</v>
      </c>
      <c r="AF94" s="25">
        <v>200</v>
      </c>
      <c r="AG94" s="25">
        <v>220</v>
      </c>
      <c r="AH94" s="25">
        <v>140</v>
      </c>
      <c r="AI94" s="25">
        <v>160</v>
      </c>
      <c r="AJ94" s="25">
        <v>180</v>
      </c>
      <c r="AK94" s="25">
        <v>200</v>
      </c>
      <c r="AL94" s="25">
        <v>220</v>
      </c>
      <c r="AM94" s="25">
        <v>140</v>
      </c>
      <c r="AN94" s="25">
        <v>160</v>
      </c>
      <c r="AO94" s="25">
        <v>180</v>
      </c>
      <c r="AP94" s="25">
        <v>200</v>
      </c>
      <c r="AQ94" s="25">
        <v>220</v>
      </c>
      <c r="AR94" s="25">
        <v>140</v>
      </c>
      <c r="AS94" s="25">
        <v>160</v>
      </c>
      <c r="AT94" s="25">
        <v>180</v>
      </c>
      <c r="AU94" s="25">
        <v>200</v>
      </c>
      <c r="AV94" s="25">
        <v>220</v>
      </c>
      <c r="AW94" s="25">
        <v>140</v>
      </c>
      <c r="AX94" s="25">
        <v>160</v>
      </c>
      <c r="AY94" s="25">
        <v>180</v>
      </c>
      <c r="AZ94" s="25">
        <v>200</v>
      </c>
      <c r="BA94" s="25">
        <v>220</v>
      </c>
      <c r="BB94" s="25">
        <v>140</v>
      </c>
      <c r="BC94" s="25">
        <v>160</v>
      </c>
      <c r="BD94" s="25">
        <v>180</v>
      </c>
      <c r="BE94" s="25">
        <v>200</v>
      </c>
      <c r="BF94" s="25">
        <v>220</v>
      </c>
      <c r="BG94" s="25">
        <v>140</v>
      </c>
      <c r="BH94" s="25">
        <v>160</v>
      </c>
      <c r="BI94" s="25">
        <v>180</v>
      </c>
      <c r="BJ94" s="25">
        <v>200</v>
      </c>
      <c r="BK94" s="25">
        <v>220</v>
      </c>
      <c r="BL94" s="25">
        <v>140</v>
      </c>
      <c r="BM94" s="25">
        <v>160</v>
      </c>
      <c r="BN94" s="25">
        <v>180</v>
      </c>
      <c r="BO94" s="25">
        <v>200</v>
      </c>
      <c r="BP94" s="25">
        <v>220</v>
      </c>
    </row>
    <row r="95" spans="1:86" x14ac:dyDescent="0.35">
      <c r="A95" s="28" t="s">
        <v>41</v>
      </c>
      <c r="B95" s="27">
        <v>173</v>
      </c>
      <c r="C95" s="28" t="s">
        <v>58</v>
      </c>
      <c r="D95" s="25">
        <v>140</v>
      </c>
      <c r="E95" s="25">
        <v>140</v>
      </c>
      <c r="F95" s="25">
        <v>160</v>
      </c>
      <c r="G95" s="25">
        <v>140</v>
      </c>
      <c r="H95" s="25">
        <v>160</v>
      </c>
      <c r="I95" s="25">
        <v>180</v>
      </c>
      <c r="J95" s="25">
        <v>140</v>
      </c>
      <c r="K95" s="25">
        <v>160</v>
      </c>
      <c r="L95" s="25">
        <v>180</v>
      </c>
      <c r="M95" s="25">
        <v>200</v>
      </c>
      <c r="N95" s="25">
        <v>140</v>
      </c>
      <c r="O95" s="25">
        <v>160</v>
      </c>
      <c r="P95" s="25">
        <v>180</v>
      </c>
      <c r="Q95" s="25">
        <v>200</v>
      </c>
      <c r="R95" s="25">
        <v>220</v>
      </c>
      <c r="S95" s="25">
        <v>140</v>
      </c>
      <c r="T95" s="25">
        <v>160</v>
      </c>
      <c r="U95" s="25">
        <v>180</v>
      </c>
      <c r="V95" s="25">
        <v>200</v>
      </c>
      <c r="W95" s="25">
        <v>220</v>
      </c>
      <c r="X95" s="25">
        <v>140</v>
      </c>
      <c r="Y95" s="25">
        <v>160</v>
      </c>
      <c r="Z95" s="25">
        <v>180</v>
      </c>
      <c r="AA95" s="25">
        <v>200</v>
      </c>
      <c r="AB95" s="25">
        <v>220</v>
      </c>
      <c r="AC95" s="25">
        <v>140</v>
      </c>
      <c r="AD95" s="25">
        <v>160</v>
      </c>
      <c r="AE95" s="25">
        <v>180</v>
      </c>
      <c r="AF95" s="25">
        <v>200</v>
      </c>
      <c r="AG95" s="25">
        <v>220</v>
      </c>
      <c r="AH95" s="25">
        <v>140</v>
      </c>
      <c r="AI95" s="25">
        <v>160</v>
      </c>
      <c r="AJ95" s="25">
        <v>180</v>
      </c>
      <c r="AK95" s="25">
        <v>200</v>
      </c>
      <c r="AL95" s="25">
        <v>220</v>
      </c>
      <c r="AM95" s="25">
        <v>140</v>
      </c>
      <c r="AN95" s="25">
        <v>160</v>
      </c>
      <c r="AO95" s="25">
        <v>180</v>
      </c>
      <c r="AP95" s="25">
        <v>200</v>
      </c>
      <c r="AQ95" s="25">
        <v>220</v>
      </c>
      <c r="AR95" s="25">
        <v>140</v>
      </c>
      <c r="AS95" s="25">
        <v>160</v>
      </c>
      <c r="AT95" s="25">
        <v>180</v>
      </c>
      <c r="AU95" s="25">
        <v>200</v>
      </c>
      <c r="AV95" s="25">
        <v>220</v>
      </c>
      <c r="AW95" s="25">
        <v>140</v>
      </c>
      <c r="AX95" s="25">
        <v>160</v>
      </c>
      <c r="AY95" s="25">
        <v>180</v>
      </c>
      <c r="AZ95" s="25">
        <v>200</v>
      </c>
      <c r="BA95" s="25">
        <v>220</v>
      </c>
      <c r="BB95" s="25">
        <v>140</v>
      </c>
      <c r="BC95" s="25">
        <v>160</v>
      </c>
      <c r="BD95" s="25">
        <v>180</v>
      </c>
      <c r="BE95" s="25">
        <v>200</v>
      </c>
      <c r="BF95" s="25">
        <v>220</v>
      </c>
      <c r="BG95" s="25">
        <v>140</v>
      </c>
      <c r="BH95" s="25">
        <v>160</v>
      </c>
      <c r="BI95" s="25">
        <v>180</v>
      </c>
      <c r="BJ95" s="25">
        <v>200</v>
      </c>
      <c r="BK95" s="25">
        <v>220</v>
      </c>
      <c r="BL95" s="25">
        <v>140</v>
      </c>
      <c r="BM95" s="25">
        <v>160</v>
      </c>
      <c r="BN95" s="25">
        <v>180</v>
      </c>
      <c r="BO95" s="25">
        <v>200</v>
      </c>
      <c r="BP95" s="25">
        <v>220</v>
      </c>
    </row>
    <row r="96" spans="1:86" x14ac:dyDescent="0.35">
      <c r="A96" s="28" t="s">
        <v>42</v>
      </c>
      <c r="B96" s="27">
        <v>66</v>
      </c>
      <c r="C96" s="28" t="s">
        <v>50</v>
      </c>
      <c r="D96" s="30">
        <f>ROUND((1000/D94),)^2</f>
        <v>49</v>
      </c>
      <c r="E96" s="30">
        <f t="shared" ref="E96:R96" si="45">ROUND((1000/E94),)^2</f>
        <v>49</v>
      </c>
      <c r="F96" s="30">
        <f t="shared" si="45"/>
        <v>36</v>
      </c>
      <c r="G96" s="30">
        <f>ROUND((1000/G94),)^2</f>
        <v>49</v>
      </c>
      <c r="H96" s="30">
        <f>ROUND((1000/H94),)^2</f>
        <v>36</v>
      </c>
      <c r="I96" s="30">
        <f>ROUND((1000/I94),)^2</f>
        <v>36</v>
      </c>
      <c r="J96" s="30">
        <f t="shared" si="45"/>
        <v>49</v>
      </c>
      <c r="K96" s="30">
        <f t="shared" si="45"/>
        <v>36</v>
      </c>
      <c r="L96" s="30">
        <f t="shared" si="45"/>
        <v>36</v>
      </c>
      <c r="M96" s="30">
        <f t="shared" si="45"/>
        <v>25</v>
      </c>
      <c r="N96" s="30">
        <f t="shared" si="45"/>
        <v>49</v>
      </c>
      <c r="O96" s="30">
        <f t="shared" si="45"/>
        <v>36</v>
      </c>
      <c r="P96" s="30">
        <f t="shared" si="45"/>
        <v>36</v>
      </c>
      <c r="Q96" s="30">
        <f t="shared" si="45"/>
        <v>25</v>
      </c>
      <c r="R96" s="30">
        <f t="shared" si="45"/>
        <v>25</v>
      </c>
      <c r="S96" s="30">
        <f t="shared" ref="S96:BK96" si="46">ROUND((1000/S94),)^2</f>
        <v>49</v>
      </c>
      <c r="T96" s="30">
        <f t="shared" si="46"/>
        <v>36</v>
      </c>
      <c r="U96" s="30">
        <f t="shared" si="46"/>
        <v>36</v>
      </c>
      <c r="V96" s="30">
        <f t="shared" si="46"/>
        <v>25</v>
      </c>
      <c r="W96" s="30">
        <f t="shared" si="46"/>
        <v>25</v>
      </c>
      <c r="X96" s="30">
        <f t="shared" si="46"/>
        <v>49</v>
      </c>
      <c r="Y96" s="30">
        <f t="shared" si="46"/>
        <v>36</v>
      </c>
      <c r="Z96" s="30">
        <f t="shared" si="46"/>
        <v>36</v>
      </c>
      <c r="AA96" s="30">
        <f t="shared" si="46"/>
        <v>25</v>
      </c>
      <c r="AB96" s="30">
        <f t="shared" si="46"/>
        <v>25</v>
      </c>
      <c r="AC96" s="30">
        <f t="shared" si="46"/>
        <v>49</v>
      </c>
      <c r="AD96" s="30">
        <f t="shared" si="46"/>
        <v>36</v>
      </c>
      <c r="AE96" s="30">
        <f t="shared" si="46"/>
        <v>36</v>
      </c>
      <c r="AF96" s="30">
        <f t="shared" si="46"/>
        <v>25</v>
      </c>
      <c r="AG96" s="30">
        <f t="shared" si="46"/>
        <v>25</v>
      </c>
      <c r="AH96" s="30">
        <f t="shared" si="46"/>
        <v>49</v>
      </c>
      <c r="AI96" s="30">
        <f t="shared" si="46"/>
        <v>36</v>
      </c>
      <c r="AJ96" s="30">
        <f t="shared" si="46"/>
        <v>36</v>
      </c>
      <c r="AK96" s="30">
        <f t="shared" si="46"/>
        <v>25</v>
      </c>
      <c r="AL96" s="30">
        <f t="shared" si="46"/>
        <v>25</v>
      </c>
      <c r="AM96" s="30">
        <f t="shared" si="46"/>
        <v>49</v>
      </c>
      <c r="AN96" s="30">
        <f t="shared" si="46"/>
        <v>36</v>
      </c>
      <c r="AO96" s="30">
        <f t="shared" si="46"/>
        <v>36</v>
      </c>
      <c r="AP96" s="30">
        <f t="shared" si="46"/>
        <v>25</v>
      </c>
      <c r="AQ96" s="30">
        <f t="shared" si="46"/>
        <v>25</v>
      </c>
      <c r="AR96" s="30">
        <f t="shared" si="46"/>
        <v>49</v>
      </c>
      <c r="AS96" s="30">
        <f t="shared" si="46"/>
        <v>36</v>
      </c>
      <c r="AT96" s="30">
        <f t="shared" si="46"/>
        <v>36</v>
      </c>
      <c r="AU96" s="30">
        <f t="shared" si="46"/>
        <v>25</v>
      </c>
      <c r="AV96" s="30">
        <f t="shared" si="46"/>
        <v>25</v>
      </c>
      <c r="AW96" s="30">
        <f t="shared" si="46"/>
        <v>49</v>
      </c>
      <c r="AX96" s="30">
        <f t="shared" si="46"/>
        <v>36</v>
      </c>
      <c r="AY96" s="30">
        <f t="shared" si="46"/>
        <v>36</v>
      </c>
      <c r="AZ96" s="30">
        <f t="shared" si="46"/>
        <v>25</v>
      </c>
      <c r="BA96" s="30">
        <f t="shared" si="46"/>
        <v>25</v>
      </c>
      <c r="BB96" s="30">
        <f t="shared" si="46"/>
        <v>49</v>
      </c>
      <c r="BC96" s="30">
        <f t="shared" si="46"/>
        <v>36</v>
      </c>
      <c r="BD96" s="30">
        <f t="shared" si="46"/>
        <v>36</v>
      </c>
      <c r="BE96" s="30">
        <f t="shared" si="46"/>
        <v>25</v>
      </c>
      <c r="BF96" s="30">
        <f t="shared" si="46"/>
        <v>25</v>
      </c>
      <c r="BG96" s="30">
        <f t="shared" si="46"/>
        <v>49</v>
      </c>
      <c r="BH96" s="30">
        <f t="shared" si="46"/>
        <v>36</v>
      </c>
      <c r="BI96" s="30">
        <f t="shared" si="46"/>
        <v>36</v>
      </c>
      <c r="BJ96" s="30">
        <f t="shared" si="46"/>
        <v>25</v>
      </c>
      <c r="BK96" s="30">
        <f t="shared" si="46"/>
        <v>25</v>
      </c>
      <c r="BL96" s="30">
        <f>ROUND((1000/BL94),)^2</f>
        <v>49</v>
      </c>
      <c r="BM96" s="30">
        <f>ROUND((1000/BM94),)^2</f>
        <v>36</v>
      </c>
      <c r="BN96" s="30">
        <f>ROUND((1000/BN94),)^2</f>
        <v>36</v>
      </c>
      <c r="BO96" s="30">
        <f>ROUND((1000/BO94),)^2</f>
        <v>25</v>
      </c>
      <c r="BP96" s="30">
        <f>ROUND((1000/BP94),)^2</f>
        <v>25</v>
      </c>
    </row>
    <row r="97" spans="1:86" x14ac:dyDescent="0.35">
      <c r="A97" s="28" t="s">
        <v>43</v>
      </c>
      <c r="B97" s="27">
        <v>165</v>
      </c>
      <c r="C97" s="28" t="s">
        <v>51</v>
      </c>
      <c r="D97" s="26">
        <f t="shared" ref="D97:AI97" si="47">D96*$B$93</f>
        <v>7.35</v>
      </c>
      <c r="E97" s="26">
        <f t="shared" si="47"/>
        <v>7.35</v>
      </c>
      <c r="F97" s="26">
        <f t="shared" si="47"/>
        <v>5.3999999999999995</v>
      </c>
      <c r="G97" s="26">
        <f t="shared" si="47"/>
        <v>7.35</v>
      </c>
      <c r="H97" s="26">
        <f t="shared" si="47"/>
        <v>5.3999999999999995</v>
      </c>
      <c r="I97" s="26">
        <f t="shared" si="47"/>
        <v>5.3999999999999995</v>
      </c>
      <c r="J97" s="26">
        <f t="shared" si="47"/>
        <v>7.35</v>
      </c>
      <c r="K97" s="26">
        <f t="shared" si="47"/>
        <v>5.3999999999999995</v>
      </c>
      <c r="L97" s="26">
        <f t="shared" si="47"/>
        <v>5.3999999999999995</v>
      </c>
      <c r="M97" s="26">
        <f t="shared" si="47"/>
        <v>3.75</v>
      </c>
      <c r="N97" s="26">
        <f t="shared" si="47"/>
        <v>7.35</v>
      </c>
      <c r="O97" s="26">
        <f t="shared" si="47"/>
        <v>5.3999999999999995</v>
      </c>
      <c r="P97" s="26">
        <f t="shared" si="47"/>
        <v>5.3999999999999995</v>
      </c>
      <c r="Q97" s="26">
        <f t="shared" si="47"/>
        <v>3.75</v>
      </c>
      <c r="R97" s="26">
        <f t="shared" si="47"/>
        <v>3.75</v>
      </c>
      <c r="S97" s="26">
        <f t="shared" si="47"/>
        <v>7.35</v>
      </c>
      <c r="T97" s="26">
        <f t="shared" si="47"/>
        <v>5.3999999999999995</v>
      </c>
      <c r="U97" s="26">
        <f t="shared" si="47"/>
        <v>5.3999999999999995</v>
      </c>
      <c r="V97" s="26">
        <f t="shared" si="47"/>
        <v>3.75</v>
      </c>
      <c r="W97" s="26">
        <f t="shared" si="47"/>
        <v>3.75</v>
      </c>
      <c r="X97" s="26">
        <f t="shared" si="47"/>
        <v>7.35</v>
      </c>
      <c r="Y97" s="26">
        <f t="shared" si="47"/>
        <v>5.3999999999999995</v>
      </c>
      <c r="Z97" s="26">
        <f t="shared" si="47"/>
        <v>5.3999999999999995</v>
      </c>
      <c r="AA97" s="26">
        <f t="shared" si="47"/>
        <v>3.75</v>
      </c>
      <c r="AB97" s="26">
        <f t="shared" si="47"/>
        <v>3.75</v>
      </c>
      <c r="AC97" s="26">
        <f t="shared" si="47"/>
        <v>7.35</v>
      </c>
      <c r="AD97" s="26">
        <f t="shared" si="47"/>
        <v>5.3999999999999995</v>
      </c>
      <c r="AE97" s="26">
        <f t="shared" si="47"/>
        <v>5.3999999999999995</v>
      </c>
      <c r="AF97" s="26">
        <f t="shared" si="47"/>
        <v>3.75</v>
      </c>
      <c r="AG97" s="26">
        <f t="shared" si="47"/>
        <v>3.75</v>
      </c>
      <c r="AH97" s="26">
        <f t="shared" si="47"/>
        <v>7.35</v>
      </c>
      <c r="AI97" s="26">
        <f t="shared" si="47"/>
        <v>5.3999999999999995</v>
      </c>
      <c r="AJ97" s="26">
        <f t="shared" ref="AJ97:BO97" si="48">AJ96*$B$93</f>
        <v>5.3999999999999995</v>
      </c>
      <c r="AK97" s="26">
        <f t="shared" si="48"/>
        <v>3.75</v>
      </c>
      <c r="AL97" s="26">
        <f t="shared" si="48"/>
        <v>3.75</v>
      </c>
      <c r="AM97" s="26">
        <f t="shared" si="48"/>
        <v>7.35</v>
      </c>
      <c r="AN97" s="26">
        <f t="shared" si="48"/>
        <v>5.3999999999999995</v>
      </c>
      <c r="AO97" s="26">
        <f t="shared" si="48"/>
        <v>5.3999999999999995</v>
      </c>
      <c r="AP97" s="26">
        <f t="shared" si="48"/>
        <v>3.75</v>
      </c>
      <c r="AQ97" s="26">
        <f t="shared" si="48"/>
        <v>3.75</v>
      </c>
      <c r="AR97" s="26">
        <f t="shared" si="48"/>
        <v>7.35</v>
      </c>
      <c r="AS97" s="26">
        <f t="shared" si="48"/>
        <v>5.3999999999999995</v>
      </c>
      <c r="AT97" s="26">
        <f t="shared" si="48"/>
        <v>5.3999999999999995</v>
      </c>
      <c r="AU97" s="26">
        <f t="shared" si="48"/>
        <v>3.75</v>
      </c>
      <c r="AV97" s="26">
        <f t="shared" si="48"/>
        <v>3.75</v>
      </c>
      <c r="AW97" s="26">
        <f t="shared" si="48"/>
        <v>7.35</v>
      </c>
      <c r="AX97" s="26">
        <f t="shared" si="48"/>
        <v>5.3999999999999995</v>
      </c>
      <c r="AY97" s="26">
        <f t="shared" si="48"/>
        <v>5.3999999999999995</v>
      </c>
      <c r="AZ97" s="26">
        <f t="shared" si="48"/>
        <v>3.75</v>
      </c>
      <c r="BA97" s="26">
        <f t="shared" si="48"/>
        <v>3.75</v>
      </c>
      <c r="BB97" s="26">
        <f t="shared" si="48"/>
        <v>7.35</v>
      </c>
      <c r="BC97" s="26">
        <f t="shared" si="48"/>
        <v>5.3999999999999995</v>
      </c>
      <c r="BD97" s="26">
        <f t="shared" si="48"/>
        <v>5.3999999999999995</v>
      </c>
      <c r="BE97" s="26">
        <f t="shared" si="48"/>
        <v>3.75</v>
      </c>
      <c r="BF97" s="26">
        <f t="shared" si="48"/>
        <v>3.75</v>
      </c>
      <c r="BG97" s="26">
        <f t="shared" si="48"/>
        <v>7.35</v>
      </c>
      <c r="BH97" s="26">
        <f t="shared" si="48"/>
        <v>5.3999999999999995</v>
      </c>
      <c r="BI97" s="26">
        <f t="shared" si="48"/>
        <v>5.3999999999999995</v>
      </c>
      <c r="BJ97" s="26">
        <f t="shared" si="48"/>
        <v>3.75</v>
      </c>
      <c r="BK97" s="26">
        <f t="shared" si="48"/>
        <v>3.75</v>
      </c>
      <c r="BL97" s="26">
        <f t="shared" si="48"/>
        <v>7.35</v>
      </c>
      <c r="BM97" s="26">
        <f t="shared" si="48"/>
        <v>5.3999999999999995</v>
      </c>
      <c r="BN97" s="26">
        <f t="shared" si="48"/>
        <v>5.3999999999999995</v>
      </c>
      <c r="BO97" s="26">
        <f t="shared" si="48"/>
        <v>3.75</v>
      </c>
      <c r="BP97" s="26">
        <f t="shared" ref="BP97" si="49">BP96*$B$93</f>
        <v>3.75</v>
      </c>
    </row>
    <row r="98" spans="1:86" x14ac:dyDescent="0.35">
      <c r="A98" s="28" t="s">
        <v>44</v>
      </c>
      <c r="B98" s="27">
        <v>5</v>
      </c>
      <c r="C98" s="28" t="s">
        <v>52</v>
      </c>
      <c r="D98" s="26">
        <f>D96*$B94</f>
        <v>73.5</v>
      </c>
      <c r="E98" s="26">
        <f t="shared" ref="E98:F98" si="50">E96*$B94</f>
        <v>73.5</v>
      </c>
      <c r="F98" s="26">
        <f t="shared" si="50"/>
        <v>54</v>
      </c>
      <c r="G98" s="26">
        <f t="shared" ref="G98:AL98" si="51">G96*$B94</f>
        <v>73.5</v>
      </c>
      <c r="H98" s="26">
        <f t="shared" si="51"/>
        <v>54</v>
      </c>
      <c r="I98" s="26">
        <f t="shared" si="51"/>
        <v>54</v>
      </c>
      <c r="J98" s="26">
        <f t="shared" si="51"/>
        <v>73.5</v>
      </c>
      <c r="K98" s="26">
        <f t="shared" si="51"/>
        <v>54</v>
      </c>
      <c r="L98" s="26">
        <f t="shared" si="51"/>
        <v>54</v>
      </c>
      <c r="M98" s="26">
        <f t="shared" si="51"/>
        <v>37.5</v>
      </c>
      <c r="N98" s="26">
        <f t="shared" si="51"/>
        <v>73.5</v>
      </c>
      <c r="O98" s="26">
        <f t="shared" si="51"/>
        <v>54</v>
      </c>
      <c r="P98" s="26">
        <f t="shared" si="51"/>
        <v>54</v>
      </c>
      <c r="Q98" s="26">
        <f t="shared" si="51"/>
        <v>37.5</v>
      </c>
      <c r="R98" s="26">
        <f t="shared" si="51"/>
        <v>37.5</v>
      </c>
      <c r="S98" s="26">
        <f t="shared" si="51"/>
        <v>73.5</v>
      </c>
      <c r="T98" s="26">
        <f t="shared" si="51"/>
        <v>54</v>
      </c>
      <c r="U98" s="26">
        <f t="shared" si="51"/>
        <v>54</v>
      </c>
      <c r="V98" s="26">
        <f t="shared" si="51"/>
        <v>37.5</v>
      </c>
      <c r="W98" s="26">
        <f t="shared" si="51"/>
        <v>37.5</v>
      </c>
      <c r="X98" s="26">
        <f t="shared" si="51"/>
        <v>73.5</v>
      </c>
      <c r="Y98" s="26">
        <f t="shared" si="51"/>
        <v>54</v>
      </c>
      <c r="Z98" s="26">
        <f t="shared" si="51"/>
        <v>54</v>
      </c>
      <c r="AA98" s="26">
        <f t="shared" si="51"/>
        <v>37.5</v>
      </c>
      <c r="AB98" s="26">
        <f t="shared" si="51"/>
        <v>37.5</v>
      </c>
      <c r="AC98" s="26">
        <f t="shared" si="51"/>
        <v>73.5</v>
      </c>
      <c r="AD98" s="26">
        <f t="shared" si="51"/>
        <v>54</v>
      </c>
      <c r="AE98" s="26">
        <f t="shared" si="51"/>
        <v>54</v>
      </c>
      <c r="AF98" s="26">
        <f t="shared" si="51"/>
        <v>37.5</v>
      </c>
      <c r="AG98" s="26">
        <f t="shared" si="51"/>
        <v>37.5</v>
      </c>
      <c r="AH98" s="26">
        <f t="shared" si="51"/>
        <v>73.5</v>
      </c>
      <c r="AI98" s="26">
        <f t="shared" si="51"/>
        <v>54</v>
      </c>
      <c r="AJ98" s="26">
        <f t="shared" si="51"/>
        <v>54</v>
      </c>
      <c r="AK98" s="26">
        <f t="shared" si="51"/>
        <v>37.5</v>
      </c>
      <c r="AL98" s="26">
        <f t="shared" si="51"/>
        <v>37.5</v>
      </c>
      <c r="AM98" s="26">
        <f t="shared" ref="AM98:BP98" si="52">AM96*$B94</f>
        <v>73.5</v>
      </c>
      <c r="AN98" s="26">
        <f t="shared" si="52"/>
        <v>54</v>
      </c>
      <c r="AO98" s="26">
        <f t="shared" si="52"/>
        <v>54</v>
      </c>
      <c r="AP98" s="26">
        <f t="shared" si="52"/>
        <v>37.5</v>
      </c>
      <c r="AQ98" s="26">
        <f t="shared" si="52"/>
        <v>37.5</v>
      </c>
      <c r="AR98" s="26">
        <f t="shared" si="52"/>
        <v>73.5</v>
      </c>
      <c r="AS98" s="26">
        <f t="shared" si="52"/>
        <v>54</v>
      </c>
      <c r="AT98" s="26">
        <f t="shared" si="52"/>
        <v>54</v>
      </c>
      <c r="AU98" s="26">
        <f t="shared" si="52"/>
        <v>37.5</v>
      </c>
      <c r="AV98" s="26">
        <f t="shared" si="52"/>
        <v>37.5</v>
      </c>
      <c r="AW98" s="26">
        <f t="shared" si="52"/>
        <v>73.5</v>
      </c>
      <c r="AX98" s="26">
        <f t="shared" si="52"/>
        <v>54</v>
      </c>
      <c r="AY98" s="26">
        <f t="shared" si="52"/>
        <v>54</v>
      </c>
      <c r="AZ98" s="26">
        <f t="shared" si="52"/>
        <v>37.5</v>
      </c>
      <c r="BA98" s="26">
        <f t="shared" si="52"/>
        <v>37.5</v>
      </c>
      <c r="BB98" s="26">
        <f t="shared" si="52"/>
        <v>73.5</v>
      </c>
      <c r="BC98" s="26">
        <f t="shared" si="52"/>
        <v>54</v>
      </c>
      <c r="BD98" s="26">
        <f t="shared" si="52"/>
        <v>54</v>
      </c>
      <c r="BE98" s="26">
        <f t="shared" si="52"/>
        <v>37.5</v>
      </c>
      <c r="BF98" s="26">
        <f t="shared" si="52"/>
        <v>37.5</v>
      </c>
      <c r="BG98" s="26">
        <f t="shared" si="52"/>
        <v>73.5</v>
      </c>
      <c r="BH98" s="26">
        <f t="shared" si="52"/>
        <v>54</v>
      </c>
      <c r="BI98" s="26">
        <f t="shared" si="52"/>
        <v>54</v>
      </c>
      <c r="BJ98" s="26">
        <f t="shared" si="52"/>
        <v>37.5</v>
      </c>
      <c r="BK98" s="26">
        <f t="shared" si="52"/>
        <v>37.5</v>
      </c>
      <c r="BL98" s="26">
        <f t="shared" si="52"/>
        <v>73.5</v>
      </c>
      <c r="BM98" s="26">
        <f t="shared" si="52"/>
        <v>54</v>
      </c>
      <c r="BN98" s="26">
        <f t="shared" si="52"/>
        <v>54</v>
      </c>
      <c r="BO98" s="26">
        <f t="shared" si="52"/>
        <v>37.5</v>
      </c>
      <c r="BP98" s="26">
        <f t="shared" si="52"/>
        <v>37.5</v>
      </c>
    </row>
    <row r="99" spans="1:86" x14ac:dyDescent="0.35">
      <c r="A99" s="28" t="s">
        <v>45</v>
      </c>
      <c r="B99" s="27">
        <v>6500</v>
      </c>
      <c r="C99" s="28" t="s">
        <v>53</v>
      </c>
      <c r="D99" s="26">
        <f>D96*$B95</f>
        <v>8477</v>
      </c>
      <c r="E99" s="26">
        <f t="shared" ref="E99:F99" si="53">E96*$B95</f>
        <v>8477</v>
      </c>
      <c r="F99" s="26">
        <f t="shared" si="53"/>
        <v>6228</v>
      </c>
      <c r="G99" s="26">
        <f t="shared" ref="G99:AL99" si="54">G96*$B95</f>
        <v>8477</v>
      </c>
      <c r="H99" s="26">
        <f t="shared" si="54"/>
        <v>6228</v>
      </c>
      <c r="I99" s="26">
        <f t="shared" si="54"/>
        <v>6228</v>
      </c>
      <c r="J99" s="26">
        <f t="shared" si="54"/>
        <v>8477</v>
      </c>
      <c r="K99" s="26">
        <f t="shared" si="54"/>
        <v>6228</v>
      </c>
      <c r="L99" s="26">
        <f t="shared" si="54"/>
        <v>6228</v>
      </c>
      <c r="M99" s="26">
        <f t="shared" si="54"/>
        <v>4325</v>
      </c>
      <c r="N99" s="26">
        <f t="shared" si="54"/>
        <v>8477</v>
      </c>
      <c r="O99" s="26">
        <f t="shared" si="54"/>
        <v>6228</v>
      </c>
      <c r="P99" s="26">
        <f t="shared" si="54"/>
        <v>6228</v>
      </c>
      <c r="Q99" s="26">
        <f t="shared" si="54"/>
        <v>4325</v>
      </c>
      <c r="R99" s="26">
        <f t="shared" si="54"/>
        <v>4325</v>
      </c>
      <c r="S99" s="26">
        <f t="shared" si="54"/>
        <v>8477</v>
      </c>
      <c r="T99" s="26">
        <f t="shared" si="54"/>
        <v>6228</v>
      </c>
      <c r="U99" s="26">
        <f t="shared" si="54"/>
        <v>6228</v>
      </c>
      <c r="V99" s="26">
        <f t="shared" si="54"/>
        <v>4325</v>
      </c>
      <c r="W99" s="26">
        <f t="shared" si="54"/>
        <v>4325</v>
      </c>
      <c r="X99" s="26">
        <f t="shared" si="54"/>
        <v>8477</v>
      </c>
      <c r="Y99" s="26">
        <f t="shared" si="54"/>
        <v>6228</v>
      </c>
      <c r="Z99" s="26">
        <f t="shared" si="54"/>
        <v>6228</v>
      </c>
      <c r="AA99" s="26">
        <f t="shared" si="54"/>
        <v>4325</v>
      </c>
      <c r="AB99" s="26">
        <f t="shared" si="54"/>
        <v>4325</v>
      </c>
      <c r="AC99" s="26">
        <f t="shared" si="54"/>
        <v>8477</v>
      </c>
      <c r="AD99" s="26">
        <f t="shared" si="54"/>
        <v>6228</v>
      </c>
      <c r="AE99" s="26">
        <f t="shared" si="54"/>
        <v>6228</v>
      </c>
      <c r="AF99" s="26">
        <f t="shared" si="54"/>
        <v>4325</v>
      </c>
      <c r="AG99" s="26">
        <f t="shared" si="54"/>
        <v>4325</v>
      </c>
      <c r="AH99" s="26">
        <f t="shared" si="54"/>
        <v>8477</v>
      </c>
      <c r="AI99" s="26">
        <f t="shared" si="54"/>
        <v>6228</v>
      </c>
      <c r="AJ99" s="26">
        <f t="shared" si="54"/>
        <v>6228</v>
      </c>
      <c r="AK99" s="26">
        <f t="shared" si="54"/>
        <v>4325</v>
      </c>
      <c r="AL99" s="26">
        <f t="shared" si="54"/>
        <v>4325</v>
      </c>
      <c r="AM99" s="26">
        <f t="shared" ref="AM99:BP99" si="55">AM96*$B95</f>
        <v>8477</v>
      </c>
      <c r="AN99" s="26">
        <f t="shared" si="55"/>
        <v>6228</v>
      </c>
      <c r="AO99" s="26">
        <f t="shared" si="55"/>
        <v>6228</v>
      </c>
      <c r="AP99" s="26">
        <f t="shared" si="55"/>
        <v>4325</v>
      </c>
      <c r="AQ99" s="26">
        <f t="shared" si="55"/>
        <v>4325</v>
      </c>
      <c r="AR99" s="26">
        <f t="shared" si="55"/>
        <v>8477</v>
      </c>
      <c r="AS99" s="26">
        <f t="shared" si="55"/>
        <v>6228</v>
      </c>
      <c r="AT99" s="26">
        <f t="shared" si="55"/>
        <v>6228</v>
      </c>
      <c r="AU99" s="26">
        <f t="shared" si="55"/>
        <v>4325</v>
      </c>
      <c r="AV99" s="26">
        <f t="shared" si="55"/>
        <v>4325</v>
      </c>
      <c r="AW99" s="26">
        <f t="shared" si="55"/>
        <v>8477</v>
      </c>
      <c r="AX99" s="26">
        <f t="shared" si="55"/>
        <v>6228</v>
      </c>
      <c r="AY99" s="26">
        <f t="shared" si="55"/>
        <v>6228</v>
      </c>
      <c r="AZ99" s="26">
        <f t="shared" si="55"/>
        <v>4325</v>
      </c>
      <c r="BA99" s="26">
        <f t="shared" si="55"/>
        <v>4325</v>
      </c>
      <c r="BB99" s="26">
        <f t="shared" si="55"/>
        <v>8477</v>
      </c>
      <c r="BC99" s="26">
        <f t="shared" si="55"/>
        <v>6228</v>
      </c>
      <c r="BD99" s="26">
        <f t="shared" si="55"/>
        <v>6228</v>
      </c>
      <c r="BE99" s="26">
        <f t="shared" si="55"/>
        <v>4325</v>
      </c>
      <c r="BF99" s="26">
        <f t="shared" si="55"/>
        <v>4325</v>
      </c>
      <c r="BG99" s="26">
        <f t="shared" si="55"/>
        <v>8477</v>
      </c>
      <c r="BH99" s="26">
        <f t="shared" si="55"/>
        <v>6228</v>
      </c>
      <c r="BI99" s="26">
        <f t="shared" si="55"/>
        <v>6228</v>
      </c>
      <c r="BJ99" s="26">
        <f t="shared" si="55"/>
        <v>4325</v>
      </c>
      <c r="BK99" s="26">
        <f t="shared" si="55"/>
        <v>4325</v>
      </c>
      <c r="BL99" s="26">
        <f t="shared" si="55"/>
        <v>8477</v>
      </c>
      <c r="BM99" s="26">
        <f t="shared" si="55"/>
        <v>6228</v>
      </c>
      <c r="BN99" s="26">
        <f t="shared" si="55"/>
        <v>6228</v>
      </c>
      <c r="BO99" s="26">
        <f t="shared" si="55"/>
        <v>4325</v>
      </c>
      <c r="BP99" s="26">
        <f t="shared" si="55"/>
        <v>4325</v>
      </c>
    </row>
    <row r="100" spans="1:86" x14ac:dyDescent="0.35">
      <c r="A100" s="28" t="s">
        <v>46</v>
      </c>
      <c r="B100" s="27">
        <v>240</v>
      </c>
      <c r="C100" s="28" t="s">
        <v>54</v>
      </c>
      <c r="D100" s="25">
        <v>4400</v>
      </c>
      <c r="E100" s="25">
        <v>4100</v>
      </c>
      <c r="F100" s="25">
        <v>3200</v>
      </c>
      <c r="G100" s="25">
        <v>3900</v>
      </c>
      <c r="H100" s="25">
        <v>3100</v>
      </c>
      <c r="I100" s="25">
        <v>2400</v>
      </c>
      <c r="J100" s="25">
        <v>3800</v>
      </c>
      <c r="K100" s="25">
        <v>3000</v>
      </c>
      <c r="L100" s="25">
        <v>2300</v>
      </c>
      <c r="M100" s="25">
        <v>2000</v>
      </c>
      <c r="N100" s="25">
        <v>3700</v>
      </c>
      <c r="O100" s="25">
        <v>2900</v>
      </c>
      <c r="P100" s="25">
        <v>2200</v>
      </c>
      <c r="Q100" s="25">
        <v>1900</v>
      </c>
      <c r="R100" s="25">
        <v>1450</v>
      </c>
      <c r="S100" s="25">
        <v>3650</v>
      </c>
      <c r="T100" s="25">
        <v>2800</v>
      </c>
      <c r="U100" s="25">
        <v>2150</v>
      </c>
      <c r="V100" s="25">
        <v>1850</v>
      </c>
      <c r="W100" s="25">
        <v>1400</v>
      </c>
      <c r="X100" s="25">
        <v>3600</v>
      </c>
      <c r="Y100" s="25">
        <v>2750</v>
      </c>
      <c r="Z100" s="25">
        <v>2100</v>
      </c>
      <c r="AA100" s="25">
        <v>1800</v>
      </c>
      <c r="AB100" s="25">
        <v>1350</v>
      </c>
      <c r="AC100" s="25">
        <v>3450</v>
      </c>
      <c r="AD100" s="25">
        <v>2700</v>
      </c>
      <c r="AE100" s="25">
        <v>2050</v>
      </c>
      <c r="AF100" s="25">
        <v>1750</v>
      </c>
      <c r="AG100" s="25">
        <v>1330</v>
      </c>
      <c r="AH100" s="25">
        <v>3300</v>
      </c>
      <c r="AI100" s="25">
        <v>2650</v>
      </c>
      <c r="AJ100" s="25">
        <v>2000</v>
      </c>
      <c r="AK100" s="25">
        <v>1700</v>
      </c>
      <c r="AL100" s="25">
        <v>1320</v>
      </c>
      <c r="AM100" s="25">
        <v>3200</v>
      </c>
      <c r="AN100" s="25">
        <v>2600</v>
      </c>
      <c r="AO100" s="25">
        <v>1900</v>
      </c>
      <c r="AP100" s="25">
        <v>1670</v>
      </c>
      <c r="AQ100" s="25">
        <v>1300</v>
      </c>
      <c r="AR100" s="25">
        <v>3100</v>
      </c>
      <c r="AS100" s="25">
        <v>2500</v>
      </c>
      <c r="AT100" s="25">
        <v>1850</v>
      </c>
      <c r="AU100" s="25">
        <v>1650</v>
      </c>
      <c r="AV100" s="25">
        <v>1300</v>
      </c>
      <c r="AW100" s="25">
        <v>3050</v>
      </c>
      <c r="AX100" s="25">
        <v>2400</v>
      </c>
      <c r="AY100" s="25">
        <v>1820</v>
      </c>
      <c r="AZ100" s="25">
        <v>1600</v>
      </c>
      <c r="BA100" s="25">
        <v>1270</v>
      </c>
      <c r="BB100" s="25">
        <v>3000</v>
      </c>
      <c r="BC100" s="25">
        <v>2350</v>
      </c>
      <c r="BD100" s="25">
        <v>1800</v>
      </c>
      <c r="BE100" s="25">
        <v>1550</v>
      </c>
      <c r="BF100" s="25">
        <v>1250</v>
      </c>
      <c r="BG100" s="25">
        <v>2700</v>
      </c>
      <c r="BH100" s="25">
        <v>2100</v>
      </c>
      <c r="BI100" s="25">
        <v>1600</v>
      </c>
      <c r="BJ100" s="25">
        <v>1450</v>
      </c>
      <c r="BK100" s="25">
        <v>1150</v>
      </c>
      <c r="BL100" s="25">
        <v>2400</v>
      </c>
      <c r="BM100" s="25">
        <v>1950</v>
      </c>
      <c r="BN100" s="25">
        <v>1500</v>
      </c>
      <c r="BO100" s="25">
        <v>1350</v>
      </c>
      <c r="BP100" s="25">
        <v>1000</v>
      </c>
    </row>
    <row r="101" spans="1:86" x14ac:dyDescent="0.35">
      <c r="A101" s="15"/>
      <c r="B101" s="27"/>
      <c r="C101" s="15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</row>
    <row r="102" spans="1:86" ht="21" x14ac:dyDescent="0.5">
      <c r="A102" s="47" t="s">
        <v>21</v>
      </c>
      <c r="B102" s="27"/>
      <c r="C102" s="15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</row>
    <row r="103" spans="1:86" x14ac:dyDescent="0.35">
      <c r="A103" s="28" t="s">
        <v>39</v>
      </c>
      <c r="B103" s="27">
        <v>0.25</v>
      </c>
      <c r="C103" s="29" t="s">
        <v>48</v>
      </c>
      <c r="D103" s="45">
        <v>90</v>
      </c>
      <c r="E103" s="68">
        <v>100</v>
      </c>
      <c r="F103" s="70"/>
      <c r="G103" s="68">
        <v>110</v>
      </c>
      <c r="H103" s="69"/>
      <c r="I103" s="70"/>
      <c r="J103" s="68">
        <v>120</v>
      </c>
      <c r="K103" s="69"/>
      <c r="L103" s="69"/>
      <c r="M103" s="70"/>
      <c r="N103" s="68">
        <v>130</v>
      </c>
      <c r="O103" s="69"/>
      <c r="P103" s="69"/>
      <c r="Q103" s="69"/>
      <c r="R103" s="70"/>
      <c r="S103" s="68">
        <v>140</v>
      </c>
      <c r="T103" s="69"/>
      <c r="U103" s="69"/>
      <c r="V103" s="69"/>
      <c r="W103" s="69"/>
      <c r="X103" s="70"/>
      <c r="Y103" s="68">
        <v>150</v>
      </c>
      <c r="Z103" s="69"/>
      <c r="AA103" s="69"/>
      <c r="AB103" s="69"/>
      <c r="AC103" s="69"/>
      <c r="AD103" s="70"/>
      <c r="AE103" s="68">
        <v>160</v>
      </c>
      <c r="AF103" s="69"/>
      <c r="AG103" s="69"/>
      <c r="AH103" s="69"/>
      <c r="AI103" s="69"/>
      <c r="AJ103" s="69"/>
      <c r="AK103" s="70"/>
      <c r="AL103" s="68">
        <v>170</v>
      </c>
      <c r="AM103" s="69"/>
      <c r="AN103" s="69"/>
      <c r="AO103" s="69"/>
      <c r="AP103" s="69"/>
      <c r="AQ103" s="69"/>
      <c r="AR103" s="70"/>
      <c r="AS103" s="68">
        <v>180</v>
      </c>
      <c r="AT103" s="69"/>
      <c r="AU103" s="69"/>
      <c r="AV103" s="69"/>
      <c r="AW103" s="69"/>
      <c r="AX103" s="69"/>
      <c r="AY103" s="70"/>
      <c r="AZ103" s="68">
        <v>190</v>
      </c>
      <c r="BA103" s="69"/>
      <c r="BB103" s="69"/>
      <c r="BC103" s="69"/>
      <c r="BD103" s="69"/>
      <c r="BE103" s="69"/>
      <c r="BF103" s="70"/>
      <c r="BG103" s="68">
        <v>200</v>
      </c>
      <c r="BH103" s="69"/>
      <c r="BI103" s="69"/>
      <c r="BJ103" s="69"/>
      <c r="BK103" s="69"/>
      <c r="BL103" s="69"/>
      <c r="BM103" s="70"/>
      <c r="BN103" s="68">
        <v>250</v>
      </c>
      <c r="BO103" s="69"/>
      <c r="BP103" s="69"/>
      <c r="BQ103" s="69"/>
      <c r="BR103" s="69"/>
      <c r="BS103" s="70"/>
      <c r="BT103" s="68">
        <v>300</v>
      </c>
      <c r="BU103" s="69"/>
      <c r="BV103" s="69"/>
      <c r="BW103" s="69"/>
      <c r="BX103" s="69"/>
      <c r="BY103" s="70"/>
    </row>
    <row r="104" spans="1:86" x14ac:dyDescent="0.35">
      <c r="A104" s="28" t="s">
        <v>40</v>
      </c>
      <c r="B104" s="27">
        <v>2</v>
      </c>
      <c r="C104" s="28" t="s">
        <v>57</v>
      </c>
      <c r="D104" s="25">
        <v>160</v>
      </c>
      <c r="E104" s="25">
        <v>160</v>
      </c>
      <c r="F104" s="25">
        <v>180</v>
      </c>
      <c r="G104" s="25">
        <v>160</v>
      </c>
      <c r="H104" s="25">
        <v>180</v>
      </c>
      <c r="I104" s="25">
        <v>200</v>
      </c>
      <c r="J104" s="25">
        <v>160</v>
      </c>
      <c r="K104" s="25">
        <v>180</v>
      </c>
      <c r="L104" s="25">
        <v>200</v>
      </c>
      <c r="M104" s="25">
        <v>220</v>
      </c>
      <c r="N104" s="25">
        <v>160</v>
      </c>
      <c r="O104" s="25">
        <v>180</v>
      </c>
      <c r="P104" s="25">
        <v>200</v>
      </c>
      <c r="Q104" s="25">
        <v>220</v>
      </c>
      <c r="R104" s="25">
        <v>240</v>
      </c>
      <c r="S104" s="25">
        <v>160</v>
      </c>
      <c r="T104" s="25">
        <v>180</v>
      </c>
      <c r="U104" s="25">
        <v>200</v>
      </c>
      <c r="V104" s="25">
        <v>220</v>
      </c>
      <c r="W104" s="25">
        <v>240</v>
      </c>
      <c r="X104" s="25">
        <v>260</v>
      </c>
      <c r="Y104" s="25">
        <v>160</v>
      </c>
      <c r="Z104" s="25">
        <v>180</v>
      </c>
      <c r="AA104" s="25">
        <v>200</v>
      </c>
      <c r="AB104" s="25">
        <v>220</v>
      </c>
      <c r="AC104" s="25">
        <v>240</v>
      </c>
      <c r="AD104" s="25">
        <v>260</v>
      </c>
      <c r="AE104" s="25">
        <v>160</v>
      </c>
      <c r="AF104" s="25">
        <v>180</v>
      </c>
      <c r="AG104" s="25">
        <v>200</v>
      </c>
      <c r="AH104" s="25">
        <v>220</v>
      </c>
      <c r="AI104" s="25">
        <v>240</v>
      </c>
      <c r="AJ104" s="25">
        <v>260</v>
      </c>
      <c r="AK104" s="25">
        <v>280</v>
      </c>
      <c r="AL104" s="25">
        <v>160</v>
      </c>
      <c r="AM104" s="25">
        <v>180</v>
      </c>
      <c r="AN104" s="25">
        <v>200</v>
      </c>
      <c r="AO104" s="25">
        <v>220</v>
      </c>
      <c r="AP104" s="25">
        <v>240</v>
      </c>
      <c r="AQ104" s="25">
        <v>260</v>
      </c>
      <c r="AR104" s="25">
        <v>280</v>
      </c>
      <c r="AS104" s="25">
        <v>160</v>
      </c>
      <c r="AT104" s="25">
        <v>180</v>
      </c>
      <c r="AU104" s="25">
        <v>200</v>
      </c>
      <c r="AV104" s="25">
        <v>220</v>
      </c>
      <c r="AW104" s="25">
        <v>240</v>
      </c>
      <c r="AX104" s="25">
        <v>260</v>
      </c>
      <c r="AY104" s="25">
        <v>280</v>
      </c>
      <c r="AZ104" s="25">
        <v>160</v>
      </c>
      <c r="BA104" s="25">
        <v>180</v>
      </c>
      <c r="BB104" s="25">
        <v>200</v>
      </c>
      <c r="BC104" s="25">
        <v>220</v>
      </c>
      <c r="BD104" s="25">
        <v>240</v>
      </c>
      <c r="BE104" s="25">
        <v>260</v>
      </c>
      <c r="BF104" s="25">
        <v>280</v>
      </c>
      <c r="BG104" s="25">
        <v>160</v>
      </c>
      <c r="BH104" s="25">
        <v>180</v>
      </c>
      <c r="BI104" s="25">
        <v>200</v>
      </c>
      <c r="BJ104" s="25">
        <v>220</v>
      </c>
      <c r="BK104" s="25">
        <v>240</v>
      </c>
      <c r="BL104" s="25">
        <v>260</v>
      </c>
      <c r="BM104" s="25">
        <v>280</v>
      </c>
      <c r="BN104" s="25">
        <v>160</v>
      </c>
      <c r="BO104" s="25">
        <v>180</v>
      </c>
      <c r="BP104" s="25">
        <v>200</v>
      </c>
      <c r="BQ104" s="25">
        <v>220</v>
      </c>
      <c r="BR104" s="25">
        <v>240</v>
      </c>
      <c r="BS104" s="25">
        <v>260</v>
      </c>
      <c r="BT104" s="25">
        <v>160</v>
      </c>
      <c r="BU104" s="25">
        <v>180</v>
      </c>
      <c r="BV104" s="25">
        <v>200</v>
      </c>
      <c r="BW104" s="25">
        <v>220</v>
      </c>
      <c r="BX104" s="25">
        <v>240</v>
      </c>
      <c r="BY104" s="25">
        <v>260</v>
      </c>
    </row>
    <row r="105" spans="1:86" x14ac:dyDescent="0.35">
      <c r="A105" s="28" t="s">
        <v>41</v>
      </c>
      <c r="B105" s="27">
        <v>230</v>
      </c>
      <c r="C105" s="28" t="s">
        <v>58</v>
      </c>
      <c r="D105" s="25">
        <v>160</v>
      </c>
      <c r="E105" s="25">
        <v>160</v>
      </c>
      <c r="F105" s="25">
        <v>180</v>
      </c>
      <c r="G105" s="25">
        <v>160</v>
      </c>
      <c r="H105" s="25">
        <v>180</v>
      </c>
      <c r="I105" s="25">
        <v>200</v>
      </c>
      <c r="J105" s="25">
        <v>160</v>
      </c>
      <c r="K105" s="25">
        <v>180</v>
      </c>
      <c r="L105" s="25">
        <v>200</v>
      </c>
      <c r="M105" s="25">
        <v>220</v>
      </c>
      <c r="N105" s="25">
        <v>160</v>
      </c>
      <c r="O105" s="25">
        <v>180</v>
      </c>
      <c r="P105" s="25">
        <v>200</v>
      </c>
      <c r="Q105" s="25">
        <v>220</v>
      </c>
      <c r="R105" s="25">
        <v>240</v>
      </c>
      <c r="S105" s="25">
        <v>160</v>
      </c>
      <c r="T105" s="25">
        <v>180</v>
      </c>
      <c r="U105" s="25">
        <v>200</v>
      </c>
      <c r="V105" s="25">
        <v>220</v>
      </c>
      <c r="W105" s="25">
        <v>240</v>
      </c>
      <c r="X105" s="25">
        <v>260</v>
      </c>
      <c r="Y105" s="25">
        <v>160</v>
      </c>
      <c r="Z105" s="25">
        <v>180</v>
      </c>
      <c r="AA105" s="25">
        <v>200</v>
      </c>
      <c r="AB105" s="25">
        <v>220</v>
      </c>
      <c r="AC105" s="25">
        <v>240</v>
      </c>
      <c r="AD105" s="25">
        <v>260</v>
      </c>
      <c r="AE105" s="25">
        <v>160</v>
      </c>
      <c r="AF105" s="25">
        <v>180</v>
      </c>
      <c r="AG105" s="25">
        <v>200</v>
      </c>
      <c r="AH105" s="25">
        <v>220</v>
      </c>
      <c r="AI105" s="25">
        <v>240</v>
      </c>
      <c r="AJ105" s="25">
        <v>260</v>
      </c>
      <c r="AK105" s="25">
        <v>280</v>
      </c>
      <c r="AL105" s="25">
        <v>160</v>
      </c>
      <c r="AM105" s="25">
        <v>180</v>
      </c>
      <c r="AN105" s="25">
        <v>200</v>
      </c>
      <c r="AO105" s="25">
        <v>220</v>
      </c>
      <c r="AP105" s="25">
        <v>240</v>
      </c>
      <c r="AQ105" s="25">
        <v>260</v>
      </c>
      <c r="AR105" s="25">
        <v>280</v>
      </c>
      <c r="AS105" s="25">
        <v>160</v>
      </c>
      <c r="AT105" s="25">
        <v>180</v>
      </c>
      <c r="AU105" s="25">
        <v>200</v>
      </c>
      <c r="AV105" s="25">
        <v>220</v>
      </c>
      <c r="AW105" s="25">
        <v>240</v>
      </c>
      <c r="AX105" s="25">
        <v>260</v>
      </c>
      <c r="AY105" s="25">
        <v>280</v>
      </c>
      <c r="AZ105" s="25">
        <v>160</v>
      </c>
      <c r="BA105" s="25">
        <v>180</v>
      </c>
      <c r="BB105" s="25">
        <v>200</v>
      </c>
      <c r="BC105" s="25">
        <v>220</v>
      </c>
      <c r="BD105" s="25">
        <v>240</v>
      </c>
      <c r="BE105" s="25">
        <v>260</v>
      </c>
      <c r="BF105" s="25">
        <v>280</v>
      </c>
      <c r="BG105" s="25">
        <v>160</v>
      </c>
      <c r="BH105" s="25">
        <v>180</v>
      </c>
      <c r="BI105" s="25">
        <v>200</v>
      </c>
      <c r="BJ105" s="25">
        <v>220</v>
      </c>
      <c r="BK105" s="25">
        <v>240</v>
      </c>
      <c r="BL105" s="25">
        <v>260</v>
      </c>
      <c r="BM105" s="25">
        <v>280</v>
      </c>
      <c r="BN105" s="25">
        <v>160</v>
      </c>
      <c r="BO105" s="25">
        <v>180</v>
      </c>
      <c r="BP105" s="25">
        <v>200</v>
      </c>
      <c r="BQ105" s="25">
        <v>220</v>
      </c>
      <c r="BR105" s="25">
        <v>240</v>
      </c>
      <c r="BS105" s="25">
        <v>260</v>
      </c>
      <c r="BT105" s="25">
        <v>160</v>
      </c>
      <c r="BU105" s="25">
        <v>180</v>
      </c>
      <c r="BV105" s="25">
        <v>200</v>
      </c>
      <c r="BW105" s="25">
        <v>220</v>
      </c>
      <c r="BX105" s="25">
        <v>240</v>
      </c>
      <c r="BY105" s="25">
        <v>260</v>
      </c>
    </row>
    <row r="106" spans="1:86" x14ac:dyDescent="0.35">
      <c r="A106" s="28" t="s">
        <v>42</v>
      </c>
      <c r="B106" s="27">
        <v>66</v>
      </c>
      <c r="C106" s="28" t="s">
        <v>50</v>
      </c>
      <c r="D106" s="30">
        <f t="shared" ref="D106:W106" si="56">ROUND((1000/D104),)^2</f>
        <v>36</v>
      </c>
      <c r="E106" s="30">
        <f t="shared" si="56"/>
        <v>36</v>
      </c>
      <c r="F106" s="30">
        <f t="shared" si="56"/>
        <v>36</v>
      </c>
      <c r="G106" s="30">
        <f t="shared" si="56"/>
        <v>36</v>
      </c>
      <c r="H106" s="30">
        <f t="shared" si="56"/>
        <v>36</v>
      </c>
      <c r="I106" s="30">
        <f t="shared" si="56"/>
        <v>25</v>
      </c>
      <c r="J106" s="30">
        <f t="shared" si="56"/>
        <v>36</v>
      </c>
      <c r="K106" s="30">
        <f t="shared" si="56"/>
        <v>36</v>
      </c>
      <c r="L106" s="30">
        <f t="shared" si="56"/>
        <v>25</v>
      </c>
      <c r="M106" s="30">
        <f t="shared" si="56"/>
        <v>25</v>
      </c>
      <c r="N106" s="30">
        <f t="shared" si="56"/>
        <v>36</v>
      </c>
      <c r="O106" s="30">
        <f t="shared" si="56"/>
        <v>36</v>
      </c>
      <c r="P106" s="30">
        <f t="shared" si="56"/>
        <v>25</v>
      </c>
      <c r="Q106" s="30">
        <f t="shared" si="56"/>
        <v>25</v>
      </c>
      <c r="R106" s="30">
        <f t="shared" si="56"/>
        <v>16</v>
      </c>
      <c r="S106" s="30">
        <f t="shared" si="56"/>
        <v>36</v>
      </c>
      <c r="T106" s="30">
        <f t="shared" si="56"/>
        <v>36</v>
      </c>
      <c r="U106" s="30">
        <f t="shared" si="56"/>
        <v>25</v>
      </c>
      <c r="V106" s="30">
        <f t="shared" si="56"/>
        <v>25</v>
      </c>
      <c r="W106" s="30">
        <f t="shared" si="56"/>
        <v>16</v>
      </c>
      <c r="X106" s="30">
        <f t="shared" ref="X106:AC106" si="57">ROUND((1000/X104),)^2</f>
        <v>16</v>
      </c>
      <c r="Y106" s="30">
        <f t="shared" si="57"/>
        <v>36</v>
      </c>
      <c r="Z106" s="30">
        <f t="shared" si="57"/>
        <v>36</v>
      </c>
      <c r="AA106" s="30">
        <f t="shared" si="57"/>
        <v>25</v>
      </c>
      <c r="AB106" s="30">
        <f t="shared" si="57"/>
        <v>25</v>
      </c>
      <c r="AC106" s="30">
        <f t="shared" si="57"/>
        <v>16</v>
      </c>
      <c r="AD106" s="30">
        <f t="shared" ref="AD106:AI106" si="58">ROUND((1000/AD104),)^2</f>
        <v>16</v>
      </c>
      <c r="AE106" s="30">
        <f t="shared" si="58"/>
        <v>36</v>
      </c>
      <c r="AF106" s="30">
        <f t="shared" si="58"/>
        <v>36</v>
      </c>
      <c r="AG106" s="30">
        <f t="shared" si="58"/>
        <v>25</v>
      </c>
      <c r="AH106" s="30">
        <f t="shared" si="58"/>
        <v>25</v>
      </c>
      <c r="AI106" s="30">
        <f t="shared" si="58"/>
        <v>16</v>
      </c>
      <c r="AJ106" s="30">
        <f t="shared" ref="AJ106:BF106" si="59">ROUND((1000/AJ104),)^2</f>
        <v>16</v>
      </c>
      <c r="AK106" s="30">
        <f t="shared" si="59"/>
        <v>16</v>
      </c>
      <c r="AL106" s="30">
        <f t="shared" si="59"/>
        <v>36</v>
      </c>
      <c r="AM106" s="30">
        <f t="shared" si="59"/>
        <v>36</v>
      </c>
      <c r="AN106" s="30">
        <f t="shared" si="59"/>
        <v>25</v>
      </c>
      <c r="AO106" s="30">
        <f t="shared" si="59"/>
        <v>25</v>
      </c>
      <c r="AP106" s="30">
        <f t="shared" si="59"/>
        <v>16</v>
      </c>
      <c r="AQ106" s="30">
        <f t="shared" si="59"/>
        <v>16</v>
      </c>
      <c r="AR106" s="30">
        <f t="shared" si="59"/>
        <v>16</v>
      </c>
      <c r="AS106" s="30">
        <f t="shared" si="59"/>
        <v>36</v>
      </c>
      <c r="AT106" s="30">
        <f t="shared" si="59"/>
        <v>36</v>
      </c>
      <c r="AU106" s="30">
        <f t="shared" si="59"/>
        <v>25</v>
      </c>
      <c r="AV106" s="30">
        <f t="shared" si="59"/>
        <v>25</v>
      </c>
      <c r="AW106" s="30">
        <f t="shared" si="59"/>
        <v>16</v>
      </c>
      <c r="AX106" s="30">
        <f t="shared" si="59"/>
        <v>16</v>
      </c>
      <c r="AY106" s="30">
        <f t="shared" si="59"/>
        <v>16</v>
      </c>
      <c r="AZ106" s="30">
        <f t="shared" si="59"/>
        <v>36</v>
      </c>
      <c r="BA106" s="30">
        <f t="shared" si="59"/>
        <v>36</v>
      </c>
      <c r="BB106" s="30">
        <f t="shared" si="59"/>
        <v>25</v>
      </c>
      <c r="BC106" s="30">
        <f t="shared" si="59"/>
        <v>25</v>
      </c>
      <c r="BD106" s="30">
        <f t="shared" si="59"/>
        <v>16</v>
      </c>
      <c r="BE106" s="30">
        <f t="shared" si="59"/>
        <v>16</v>
      </c>
      <c r="BF106" s="30">
        <f t="shared" si="59"/>
        <v>16</v>
      </c>
      <c r="BG106" s="30">
        <f t="shared" ref="BG106:BY106" si="60">ROUND((1000/BG104),)^2</f>
        <v>36</v>
      </c>
      <c r="BH106" s="30">
        <f t="shared" si="60"/>
        <v>36</v>
      </c>
      <c r="BI106" s="30">
        <f t="shared" si="60"/>
        <v>25</v>
      </c>
      <c r="BJ106" s="30">
        <f t="shared" si="60"/>
        <v>25</v>
      </c>
      <c r="BK106" s="30">
        <f t="shared" si="60"/>
        <v>16</v>
      </c>
      <c r="BL106" s="30">
        <f t="shared" si="60"/>
        <v>16</v>
      </c>
      <c r="BM106" s="30">
        <f t="shared" si="60"/>
        <v>16</v>
      </c>
      <c r="BN106" s="30">
        <f t="shared" si="60"/>
        <v>36</v>
      </c>
      <c r="BO106" s="30">
        <f t="shared" si="60"/>
        <v>36</v>
      </c>
      <c r="BP106" s="30">
        <f t="shared" si="60"/>
        <v>25</v>
      </c>
      <c r="BQ106" s="30">
        <f t="shared" si="60"/>
        <v>25</v>
      </c>
      <c r="BR106" s="30">
        <f t="shared" si="60"/>
        <v>16</v>
      </c>
      <c r="BS106" s="30">
        <f t="shared" si="60"/>
        <v>16</v>
      </c>
      <c r="BT106" s="30">
        <f t="shared" si="60"/>
        <v>36</v>
      </c>
      <c r="BU106" s="30">
        <f t="shared" si="60"/>
        <v>36</v>
      </c>
      <c r="BV106" s="30">
        <f t="shared" si="60"/>
        <v>25</v>
      </c>
      <c r="BW106" s="30">
        <f t="shared" si="60"/>
        <v>25</v>
      </c>
      <c r="BX106" s="30">
        <f t="shared" si="60"/>
        <v>16</v>
      </c>
      <c r="BY106" s="30">
        <f t="shared" si="60"/>
        <v>16</v>
      </c>
    </row>
    <row r="107" spans="1:86" x14ac:dyDescent="0.35">
      <c r="A107" s="28" t="s">
        <v>43</v>
      </c>
      <c r="B107" s="27">
        <v>165</v>
      </c>
      <c r="C107" s="28" t="s">
        <v>51</v>
      </c>
      <c r="D107" s="26">
        <f t="shared" ref="D107:AI107" si="61">D106*$B$103</f>
        <v>9</v>
      </c>
      <c r="E107" s="26">
        <f t="shared" si="61"/>
        <v>9</v>
      </c>
      <c r="F107" s="26">
        <f t="shared" si="61"/>
        <v>9</v>
      </c>
      <c r="G107" s="26">
        <f t="shared" si="61"/>
        <v>9</v>
      </c>
      <c r="H107" s="26">
        <f t="shared" si="61"/>
        <v>9</v>
      </c>
      <c r="I107" s="26">
        <f t="shared" si="61"/>
        <v>6.25</v>
      </c>
      <c r="J107" s="26">
        <f t="shared" si="61"/>
        <v>9</v>
      </c>
      <c r="K107" s="26">
        <f t="shared" si="61"/>
        <v>9</v>
      </c>
      <c r="L107" s="26">
        <f t="shared" si="61"/>
        <v>6.25</v>
      </c>
      <c r="M107" s="26">
        <f t="shared" si="61"/>
        <v>6.25</v>
      </c>
      <c r="N107" s="26">
        <f t="shared" si="61"/>
        <v>9</v>
      </c>
      <c r="O107" s="26">
        <f t="shared" si="61"/>
        <v>9</v>
      </c>
      <c r="P107" s="26">
        <f t="shared" si="61"/>
        <v>6.25</v>
      </c>
      <c r="Q107" s="26">
        <f t="shared" si="61"/>
        <v>6.25</v>
      </c>
      <c r="R107" s="26">
        <f t="shared" si="61"/>
        <v>4</v>
      </c>
      <c r="S107" s="26">
        <f t="shared" si="61"/>
        <v>9</v>
      </c>
      <c r="T107" s="26">
        <f t="shared" si="61"/>
        <v>9</v>
      </c>
      <c r="U107" s="26">
        <f t="shared" si="61"/>
        <v>6.25</v>
      </c>
      <c r="V107" s="26">
        <f t="shared" si="61"/>
        <v>6.25</v>
      </c>
      <c r="W107" s="26">
        <f t="shared" si="61"/>
        <v>4</v>
      </c>
      <c r="X107" s="26">
        <f t="shared" si="61"/>
        <v>4</v>
      </c>
      <c r="Y107" s="26">
        <f t="shared" si="61"/>
        <v>9</v>
      </c>
      <c r="Z107" s="26">
        <f t="shared" si="61"/>
        <v>9</v>
      </c>
      <c r="AA107" s="26">
        <f t="shared" si="61"/>
        <v>6.25</v>
      </c>
      <c r="AB107" s="26">
        <f t="shared" si="61"/>
        <v>6.25</v>
      </c>
      <c r="AC107" s="26">
        <f t="shared" si="61"/>
        <v>4</v>
      </c>
      <c r="AD107" s="26">
        <f t="shared" si="61"/>
        <v>4</v>
      </c>
      <c r="AE107" s="26">
        <f t="shared" si="61"/>
        <v>9</v>
      </c>
      <c r="AF107" s="26">
        <f t="shared" si="61"/>
        <v>9</v>
      </c>
      <c r="AG107" s="26">
        <f t="shared" si="61"/>
        <v>6.25</v>
      </c>
      <c r="AH107" s="26">
        <f t="shared" si="61"/>
        <v>6.25</v>
      </c>
      <c r="AI107" s="26">
        <f t="shared" si="61"/>
        <v>4</v>
      </c>
      <c r="AJ107" s="26">
        <f t="shared" ref="AJ107:BO107" si="62">AJ106*$B$103</f>
        <v>4</v>
      </c>
      <c r="AK107" s="26">
        <f t="shared" si="62"/>
        <v>4</v>
      </c>
      <c r="AL107" s="26">
        <f t="shared" si="62"/>
        <v>9</v>
      </c>
      <c r="AM107" s="26">
        <f t="shared" si="62"/>
        <v>9</v>
      </c>
      <c r="AN107" s="26">
        <f t="shared" si="62"/>
        <v>6.25</v>
      </c>
      <c r="AO107" s="26">
        <f t="shared" si="62"/>
        <v>6.25</v>
      </c>
      <c r="AP107" s="26">
        <f t="shared" si="62"/>
        <v>4</v>
      </c>
      <c r="AQ107" s="26">
        <f t="shared" si="62"/>
        <v>4</v>
      </c>
      <c r="AR107" s="26">
        <f t="shared" si="62"/>
        <v>4</v>
      </c>
      <c r="AS107" s="26">
        <f t="shared" si="62"/>
        <v>9</v>
      </c>
      <c r="AT107" s="26">
        <f t="shared" si="62"/>
        <v>9</v>
      </c>
      <c r="AU107" s="26">
        <f t="shared" si="62"/>
        <v>6.25</v>
      </c>
      <c r="AV107" s="26">
        <f t="shared" si="62"/>
        <v>6.25</v>
      </c>
      <c r="AW107" s="26">
        <f t="shared" si="62"/>
        <v>4</v>
      </c>
      <c r="AX107" s="26">
        <f t="shared" si="62"/>
        <v>4</v>
      </c>
      <c r="AY107" s="26">
        <f t="shared" si="62"/>
        <v>4</v>
      </c>
      <c r="AZ107" s="26">
        <f t="shared" si="62"/>
        <v>9</v>
      </c>
      <c r="BA107" s="26">
        <f t="shared" si="62"/>
        <v>9</v>
      </c>
      <c r="BB107" s="26">
        <f t="shared" si="62"/>
        <v>6.25</v>
      </c>
      <c r="BC107" s="26">
        <f t="shared" si="62"/>
        <v>6.25</v>
      </c>
      <c r="BD107" s="26">
        <f t="shared" si="62"/>
        <v>4</v>
      </c>
      <c r="BE107" s="26">
        <f t="shared" si="62"/>
        <v>4</v>
      </c>
      <c r="BF107" s="26">
        <f t="shared" si="62"/>
        <v>4</v>
      </c>
      <c r="BG107" s="26">
        <f t="shared" si="62"/>
        <v>9</v>
      </c>
      <c r="BH107" s="26">
        <f t="shared" si="62"/>
        <v>9</v>
      </c>
      <c r="BI107" s="26">
        <f t="shared" si="62"/>
        <v>6.25</v>
      </c>
      <c r="BJ107" s="26">
        <f t="shared" si="62"/>
        <v>6.25</v>
      </c>
      <c r="BK107" s="26">
        <f t="shared" si="62"/>
        <v>4</v>
      </c>
      <c r="BL107" s="26">
        <f t="shared" si="62"/>
        <v>4</v>
      </c>
      <c r="BM107" s="26">
        <f t="shared" si="62"/>
        <v>4</v>
      </c>
      <c r="BN107" s="26">
        <f t="shared" si="62"/>
        <v>9</v>
      </c>
      <c r="BO107" s="26">
        <f t="shared" si="62"/>
        <v>9</v>
      </c>
      <c r="BP107" s="26">
        <f t="shared" ref="BP107" si="63">BP106*$B$103</f>
        <v>6.25</v>
      </c>
      <c r="BQ107" s="26">
        <f t="shared" ref="BQ107:BY107" si="64">BQ106*$B$103</f>
        <v>6.25</v>
      </c>
      <c r="BR107" s="26">
        <f t="shared" si="64"/>
        <v>4</v>
      </c>
      <c r="BS107" s="26">
        <f t="shared" si="64"/>
        <v>4</v>
      </c>
      <c r="BT107" s="26">
        <f t="shared" si="64"/>
        <v>9</v>
      </c>
      <c r="BU107" s="26">
        <f t="shared" si="64"/>
        <v>9</v>
      </c>
      <c r="BV107" s="26">
        <f t="shared" si="64"/>
        <v>6.25</v>
      </c>
      <c r="BW107" s="26">
        <f t="shared" si="64"/>
        <v>6.25</v>
      </c>
      <c r="BX107" s="26">
        <f t="shared" si="64"/>
        <v>4</v>
      </c>
      <c r="BY107" s="26">
        <f t="shared" si="64"/>
        <v>4</v>
      </c>
    </row>
    <row r="108" spans="1:86" x14ac:dyDescent="0.35">
      <c r="A108" s="28" t="s">
        <v>44</v>
      </c>
      <c r="B108" s="27">
        <v>5</v>
      </c>
      <c r="C108" s="28" t="s">
        <v>52</v>
      </c>
      <c r="D108" s="26">
        <f t="shared" ref="D108:E108" si="65">D106*$B104</f>
        <v>72</v>
      </c>
      <c r="E108" s="26">
        <f t="shared" si="65"/>
        <v>72</v>
      </c>
      <c r="F108" s="26">
        <f t="shared" ref="F108:AK108" si="66">F106*$B104</f>
        <v>72</v>
      </c>
      <c r="G108" s="26">
        <f t="shared" si="66"/>
        <v>72</v>
      </c>
      <c r="H108" s="26">
        <f t="shared" si="66"/>
        <v>72</v>
      </c>
      <c r="I108" s="26">
        <f t="shared" si="66"/>
        <v>50</v>
      </c>
      <c r="J108" s="26">
        <f t="shared" si="66"/>
        <v>72</v>
      </c>
      <c r="K108" s="26">
        <f t="shared" si="66"/>
        <v>72</v>
      </c>
      <c r="L108" s="26">
        <f t="shared" si="66"/>
        <v>50</v>
      </c>
      <c r="M108" s="26">
        <f t="shared" si="66"/>
        <v>50</v>
      </c>
      <c r="N108" s="26">
        <f t="shared" si="66"/>
        <v>72</v>
      </c>
      <c r="O108" s="26">
        <f t="shared" si="66"/>
        <v>72</v>
      </c>
      <c r="P108" s="26">
        <f t="shared" si="66"/>
        <v>50</v>
      </c>
      <c r="Q108" s="26">
        <f t="shared" si="66"/>
        <v>50</v>
      </c>
      <c r="R108" s="26">
        <f t="shared" si="66"/>
        <v>32</v>
      </c>
      <c r="S108" s="26">
        <f t="shared" si="66"/>
        <v>72</v>
      </c>
      <c r="T108" s="26">
        <f t="shared" si="66"/>
        <v>72</v>
      </c>
      <c r="U108" s="26">
        <f t="shared" si="66"/>
        <v>50</v>
      </c>
      <c r="V108" s="26">
        <f t="shared" si="66"/>
        <v>50</v>
      </c>
      <c r="W108" s="26">
        <f t="shared" si="66"/>
        <v>32</v>
      </c>
      <c r="X108" s="26">
        <f t="shared" si="66"/>
        <v>32</v>
      </c>
      <c r="Y108" s="26">
        <f t="shared" si="66"/>
        <v>72</v>
      </c>
      <c r="Z108" s="26">
        <f t="shared" si="66"/>
        <v>72</v>
      </c>
      <c r="AA108" s="26">
        <f t="shared" si="66"/>
        <v>50</v>
      </c>
      <c r="AB108" s="26">
        <f t="shared" si="66"/>
        <v>50</v>
      </c>
      <c r="AC108" s="26">
        <f t="shared" si="66"/>
        <v>32</v>
      </c>
      <c r="AD108" s="26">
        <f t="shared" si="66"/>
        <v>32</v>
      </c>
      <c r="AE108" s="26">
        <f t="shared" si="66"/>
        <v>72</v>
      </c>
      <c r="AF108" s="26">
        <f t="shared" si="66"/>
        <v>72</v>
      </c>
      <c r="AG108" s="26">
        <f t="shared" si="66"/>
        <v>50</v>
      </c>
      <c r="AH108" s="26">
        <f t="shared" si="66"/>
        <v>50</v>
      </c>
      <c r="AI108" s="26">
        <f t="shared" si="66"/>
        <v>32</v>
      </c>
      <c r="AJ108" s="26">
        <f t="shared" si="66"/>
        <v>32</v>
      </c>
      <c r="AK108" s="26">
        <f t="shared" si="66"/>
        <v>32</v>
      </c>
      <c r="AL108" s="26">
        <f t="shared" ref="AL108:BQ108" si="67">AL106*$B104</f>
        <v>72</v>
      </c>
      <c r="AM108" s="26">
        <f t="shared" si="67"/>
        <v>72</v>
      </c>
      <c r="AN108" s="26">
        <f t="shared" si="67"/>
        <v>50</v>
      </c>
      <c r="AO108" s="26">
        <f t="shared" si="67"/>
        <v>50</v>
      </c>
      <c r="AP108" s="26">
        <f t="shared" si="67"/>
        <v>32</v>
      </c>
      <c r="AQ108" s="26">
        <f t="shared" si="67"/>
        <v>32</v>
      </c>
      <c r="AR108" s="26">
        <f t="shared" si="67"/>
        <v>32</v>
      </c>
      <c r="AS108" s="26">
        <f t="shared" si="67"/>
        <v>72</v>
      </c>
      <c r="AT108" s="26">
        <f t="shared" si="67"/>
        <v>72</v>
      </c>
      <c r="AU108" s="26">
        <f t="shared" si="67"/>
        <v>50</v>
      </c>
      <c r="AV108" s="26">
        <f t="shared" si="67"/>
        <v>50</v>
      </c>
      <c r="AW108" s="26">
        <f t="shared" si="67"/>
        <v>32</v>
      </c>
      <c r="AX108" s="26">
        <f t="shared" si="67"/>
        <v>32</v>
      </c>
      <c r="AY108" s="26">
        <f t="shared" si="67"/>
        <v>32</v>
      </c>
      <c r="AZ108" s="26">
        <f t="shared" si="67"/>
        <v>72</v>
      </c>
      <c r="BA108" s="26">
        <f t="shared" si="67"/>
        <v>72</v>
      </c>
      <c r="BB108" s="26">
        <f t="shared" si="67"/>
        <v>50</v>
      </c>
      <c r="BC108" s="26">
        <f t="shared" si="67"/>
        <v>50</v>
      </c>
      <c r="BD108" s="26">
        <f t="shared" si="67"/>
        <v>32</v>
      </c>
      <c r="BE108" s="26">
        <f t="shared" si="67"/>
        <v>32</v>
      </c>
      <c r="BF108" s="26">
        <f t="shared" si="67"/>
        <v>32</v>
      </c>
      <c r="BG108" s="26">
        <f t="shared" si="67"/>
        <v>72</v>
      </c>
      <c r="BH108" s="26">
        <f t="shared" si="67"/>
        <v>72</v>
      </c>
      <c r="BI108" s="26">
        <f t="shared" si="67"/>
        <v>50</v>
      </c>
      <c r="BJ108" s="26">
        <f t="shared" si="67"/>
        <v>50</v>
      </c>
      <c r="BK108" s="26">
        <f t="shared" si="67"/>
        <v>32</v>
      </c>
      <c r="BL108" s="26">
        <f t="shared" si="67"/>
        <v>32</v>
      </c>
      <c r="BM108" s="26">
        <f t="shared" si="67"/>
        <v>32</v>
      </c>
      <c r="BN108" s="26">
        <f t="shared" si="67"/>
        <v>72</v>
      </c>
      <c r="BO108" s="26">
        <f t="shared" si="67"/>
        <v>72</v>
      </c>
      <c r="BP108" s="26">
        <f t="shared" si="67"/>
        <v>50</v>
      </c>
      <c r="BQ108" s="26">
        <f t="shared" si="67"/>
        <v>50</v>
      </c>
      <c r="BR108" s="26">
        <f t="shared" ref="BR108:BY108" si="68">BR106*$B104</f>
        <v>32</v>
      </c>
      <c r="BS108" s="26">
        <f t="shared" si="68"/>
        <v>32</v>
      </c>
      <c r="BT108" s="26">
        <f t="shared" si="68"/>
        <v>72</v>
      </c>
      <c r="BU108" s="26">
        <f t="shared" si="68"/>
        <v>72</v>
      </c>
      <c r="BV108" s="26">
        <f t="shared" si="68"/>
        <v>50</v>
      </c>
      <c r="BW108" s="26">
        <f t="shared" si="68"/>
        <v>50</v>
      </c>
      <c r="BX108" s="26">
        <f t="shared" si="68"/>
        <v>32</v>
      </c>
      <c r="BY108" s="26">
        <f t="shared" si="68"/>
        <v>32</v>
      </c>
    </row>
    <row r="109" spans="1:86" x14ac:dyDescent="0.35">
      <c r="A109" s="28" t="s">
        <v>45</v>
      </c>
      <c r="B109" s="27">
        <v>6500</v>
      </c>
      <c r="C109" s="28" t="s">
        <v>53</v>
      </c>
      <c r="D109" s="26">
        <f t="shared" ref="D109:E109" si="69">D106*$B105</f>
        <v>8280</v>
      </c>
      <c r="E109" s="26">
        <f t="shared" si="69"/>
        <v>8280</v>
      </c>
      <c r="F109" s="26">
        <f t="shared" ref="F109:AK109" si="70">F106*$B105</f>
        <v>8280</v>
      </c>
      <c r="G109" s="26">
        <f t="shared" si="70"/>
        <v>8280</v>
      </c>
      <c r="H109" s="26">
        <f t="shared" si="70"/>
        <v>8280</v>
      </c>
      <c r="I109" s="26">
        <f t="shared" si="70"/>
        <v>5750</v>
      </c>
      <c r="J109" s="26">
        <f t="shared" si="70"/>
        <v>8280</v>
      </c>
      <c r="K109" s="26">
        <f t="shared" si="70"/>
        <v>8280</v>
      </c>
      <c r="L109" s="26">
        <f t="shared" si="70"/>
        <v>5750</v>
      </c>
      <c r="M109" s="26">
        <f t="shared" si="70"/>
        <v>5750</v>
      </c>
      <c r="N109" s="26">
        <f t="shared" si="70"/>
        <v>8280</v>
      </c>
      <c r="O109" s="26">
        <f t="shared" si="70"/>
        <v>8280</v>
      </c>
      <c r="P109" s="26">
        <f t="shared" si="70"/>
        <v>5750</v>
      </c>
      <c r="Q109" s="26">
        <f t="shared" si="70"/>
        <v>5750</v>
      </c>
      <c r="R109" s="26">
        <f t="shared" si="70"/>
        <v>3680</v>
      </c>
      <c r="S109" s="26">
        <f t="shared" si="70"/>
        <v>8280</v>
      </c>
      <c r="T109" s="26">
        <f t="shared" si="70"/>
        <v>8280</v>
      </c>
      <c r="U109" s="26">
        <f t="shared" si="70"/>
        <v>5750</v>
      </c>
      <c r="V109" s="26">
        <f t="shared" si="70"/>
        <v>5750</v>
      </c>
      <c r="W109" s="26">
        <f t="shared" si="70"/>
        <v>3680</v>
      </c>
      <c r="X109" s="26">
        <f t="shared" si="70"/>
        <v>3680</v>
      </c>
      <c r="Y109" s="26">
        <f t="shared" si="70"/>
        <v>8280</v>
      </c>
      <c r="Z109" s="26">
        <f t="shared" si="70"/>
        <v>8280</v>
      </c>
      <c r="AA109" s="26">
        <f t="shared" si="70"/>
        <v>5750</v>
      </c>
      <c r="AB109" s="26">
        <f t="shared" si="70"/>
        <v>5750</v>
      </c>
      <c r="AC109" s="26">
        <f t="shared" si="70"/>
        <v>3680</v>
      </c>
      <c r="AD109" s="26">
        <f t="shared" si="70"/>
        <v>3680</v>
      </c>
      <c r="AE109" s="26">
        <f t="shared" si="70"/>
        <v>8280</v>
      </c>
      <c r="AF109" s="26">
        <f t="shared" si="70"/>
        <v>8280</v>
      </c>
      <c r="AG109" s="26">
        <f t="shared" si="70"/>
        <v>5750</v>
      </c>
      <c r="AH109" s="26">
        <f t="shared" si="70"/>
        <v>5750</v>
      </c>
      <c r="AI109" s="26">
        <f t="shared" si="70"/>
        <v>3680</v>
      </c>
      <c r="AJ109" s="26">
        <f t="shared" si="70"/>
        <v>3680</v>
      </c>
      <c r="AK109" s="26">
        <f t="shared" si="70"/>
        <v>3680</v>
      </c>
      <c r="AL109" s="26">
        <f t="shared" ref="AL109:BQ109" si="71">AL106*$B105</f>
        <v>8280</v>
      </c>
      <c r="AM109" s="26">
        <f t="shared" si="71"/>
        <v>8280</v>
      </c>
      <c r="AN109" s="26">
        <f t="shared" si="71"/>
        <v>5750</v>
      </c>
      <c r="AO109" s="26">
        <f t="shared" si="71"/>
        <v>5750</v>
      </c>
      <c r="AP109" s="26">
        <f t="shared" si="71"/>
        <v>3680</v>
      </c>
      <c r="AQ109" s="26">
        <f t="shared" si="71"/>
        <v>3680</v>
      </c>
      <c r="AR109" s="26">
        <f t="shared" si="71"/>
        <v>3680</v>
      </c>
      <c r="AS109" s="26">
        <f t="shared" si="71"/>
        <v>8280</v>
      </c>
      <c r="AT109" s="26">
        <f t="shared" si="71"/>
        <v>8280</v>
      </c>
      <c r="AU109" s="26">
        <f t="shared" si="71"/>
        <v>5750</v>
      </c>
      <c r="AV109" s="26">
        <f t="shared" si="71"/>
        <v>5750</v>
      </c>
      <c r="AW109" s="26">
        <f t="shared" si="71"/>
        <v>3680</v>
      </c>
      <c r="AX109" s="26">
        <f t="shared" si="71"/>
        <v>3680</v>
      </c>
      <c r="AY109" s="26">
        <f t="shared" si="71"/>
        <v>3680</v>
      </c>
      <c r="AZ109" s="26">
        <f t="shared" si="71"/>
        <v>8280</v>
      </c>
      <c r="BA109" s="26">
        <f t="shared" si="71"/>
        <v>8280</v>
      </c>
      <c r="BB109" s="26">
        <f t="shared" si="71"/>
        <v>5750</v>
      </c>
      <c r="BC109" s="26">
        <f t="shared" si="71"/>
        <v>5750</v>
      </c>
      <c r="BD109" s="26">
        <f t="shared" si="71"/>
        <v>3680</v>
      </c>
      <c r="BE109" s="26">
        <f t="shared" si="71"/>
        <v>3680</v>
      </c>
      <c r="BF109" s="26">
        <f t="shared" si="71"/>
        <v>3680</v>
      </c>
      <c r="BG109" s="26">
        <f t="shared" si="71"/>
        <v>8280</v>
      </c>
      <c r="BH109" s="26">
        <f t="shared" si="71"/>
        <v>8280</v>
      </c>
      <c r="BI109" s="26">
        <f t="shared" si="71"/>
        <v>5750</v>
      </c>
      <c r="BJ109" s="26">
        <f t="shared" si="71"/>
        <v>5750</v>
      </c>
      <c r="BK109" s="26">
        <f t="shared" si="71"/>
        <v>3680</v>
      </c>
      <c r="BL109" s="26">
        <f t="shared" si="71"/>
        <v>3680</v>
      </c>
      <c r="BM109" s="26">
        <f t="shared" si="71"/>
        <v>3680</v>
      </c>
      <c r="BN109" s="26">
        <f t="shared" si="71"/>
        <v>8280</v>
      </c>
      <c r="BO109" s="26">
        <f t="shared" si="71"/>
        <v>8280</v>
      </c>
      <c r="BP109" s="26">
        <f t="shared" si="71"/>
        <v>5750</v>
      </c>
      <c r="BQ109" s="26">
        <f t="shared" si="71"/>
        <v>5750</v>
      </c>
      <c r="BR109" s="26">
        <f t="shared" ref="BR109:BY109" si="72">BR106*$B105</f>
        <v>3680</v>
      </c>
      <c r="BS109" s="26">
        <f t="shared" si="72"/>
        <v>3680</v>
      </c>
      <c r="BT109" s="26">
        <f t="shared" si="72"/>
        <v>8280</v>
      </c>
      <c r="BU109" s="26">
        <f t="shared" si="72"/>
        <v>8280</v>
      </c>
      <c r="BV109" s="26">
        <f t="shared" si="72"/>
        <v>5750</v>
      </c>
      <c r="BW109" s="26">
        <f t="shared" si="72"/>
        <v>5750</v>
      </c>
      <c r="BX109" s="26">
        <f t="shared" si="72"/>
        <v>3680</v>
      </c>
      <c r="BY109" s="26">
        <f t="shared" si="72"/>
        <v>3680</v>
      </c>
    </row>
    <row r="110" spans="1:86" x14ac:dyDescent="0.35">
      <c r="A110" s="28" t="s">
        <v>46</v>
      </c>
      <c r="B110" s="27">
        <v>340</v>
      </c>
      <c r="C110" s="28" t="s">
        <v>54</v>
      </c>
      <c r="D110" s="25">
        <v>4000</v>
      </c>
      <c r="E110" s="25">
        <v>3900</v>
      </c>
      <c r="F110" s="25">
        <v>3000</v>
      </c>
      <c r="G110" s="25">
        <v>3900</v>
      </c>
      <c r="H110" s="25">
        <v>2900</v>
      </c>
      <c r="I110" s="25">
        <v>2600</v>
      </c>
      <c r="J110" s="25">
        <v>3800</v>
      </c>
      <c r="K110" s="25">
        <v>2800</v>
      </c>
      <c r="L110" s="25">
        <v>2500</v>
      </c>
      <c r="M110" s="25">
        <v>2100</v>
      </c>
      <c r="N110" s="25">
        <v>3700</v>
      </c>
      <c r="O110" s="25">
        <v>2750</v>
      </c>
      <c r="P110" s="25">
        <v>2400</v>
      </c>
      <c r="Q110" s="25">
        <v>2000</v>
      </c>
      <c r="R110" s="25">
        <v>1850</v>
      </c>
      <c r="S110" s="25">
        <v>3600</v>
      </c>
      <c r="T110" s="25">
        <v>2700</v>
      </c>
      <c r="U110" s="25">
        <v>2350</v>
      </c>
      <c r="V110" s="25">
        <v>1950</v>
      </c>
      <c r="W110" s="25">
        <v>1800</v>
      </c>
      <c r="X110" s="25">
        <v>1400</v>
      </c>
      <c r="Y110" s="25">
        <v>3500</v>
      </c>
      <c r="Z110" s="25">
        <v>2650</v>
      </c>
      <c r="AA110" s="25">
        <v>2300</v>
      </c>
      <c r="AB110" s="25">
        <v>1900</v>
      </c>
      <c r="AC110" s="25">
        <v>1750</v>
      </c>
      <c r="AD110" s="25">
        <v>1400</v>
      </c>
      <c r="AE110" s="25">
        <v>3400</v>
      </c>
      <c r="AF110" s="25">
        <v>2600</v>
      </c>
      <c r="AG110" s="25">
        <v>2250</v>
      </c>
      <c r="AH110" s="25">
        <v>1850</v>
      </c>
      <c r="AI110" s="25">
        <v>1700</v>
      </c>
      <c r="AJ110" s="25">
        <v>1350</v>
      </c>
      <c r="AK110" s="25">
        <v>1100</v>
      </c>
      <c r="AL110" s="25">
        <v>3300</v>
      </c>
      <c r="AM110" s="25">
        <v>2500</v>
      </c>
      <c r="AN110" s="25">
        <v>2200</v>
      </c>
      <c r="AO110" s="25">
        <v>1800</v>
      </c>
      <c r="AP110" s="25">
        <v>1650</v>
      </c>
      <c r="AQ110" s="25">
        <v>1330</v>
      </c>
      <c r="AR110" s="25">
        <v>1070</v>
      </c>
      <c r="AS110" s="25">
        <v>3200</v>
      </c>
      <c r="AT110" s="25">
        <v>2450</v>
      </c>
      <c r="AU110" s="25">
        <v>2100</v>
      </c>
      <c r="AV110" s="25">
        <v>1750</v>
      </c>
      <c r="AW110" s="25">
        <v>1600</v>
      </c>
      <c r="AX110" s="25">
        <v>1300</v>
      </c>
      <c r="AY110" s="25">
        <v>1050</v>
      </c>
      <c r="AZ110" s="25">
        <v>3100</v>
      </c>
      <c r="BA110" s="25">
        <v>2400</v>
      </c>
      <c r="BB110" s="25">
        <v>2050</v>
      </c>
      <c r="BC110" s="25">
        <v>1650</v>
      </c>
      <c r="BD110" s="25">
        <v>1500</v>
      </c>
      <c r="BE110" s="25">
        <v>1250</v>
      </c>
      <c r="BF110" s="25">
        <v>1030</v>
      </c>
      <c r="BG110" s="25">
        <v>3000</v>
      </c>
      <c r="BH110" s="25">
        <v>2300</v>
      </c>
      <c r="BI110" s="25">
        <v>1950</v>
      </c>
      <c r="BJ110" s="25">
        <v>1500</v>
      </c>
      <c r="BK110" s="25">
        <v>1400</v>
      </c>
      <c r="BL110" s="25">
        <v>1200</v>
      </c>
      <c r="BM110" s="25">
        <v>1000</v>
      </c>
      <c r="BN110" s="25">
        <v>2700</v>
      </c>
      <c r="BO110" s="25">
        <v>2000</v>
      </c>
      <c r="BP110" s="25">
        <v>1800</v>
      </c>
      <c r="BQ110" s="25">
        <v>1500</v>
      </c>
      <c r="BR110" s="25">
        <v>1300</v>
      </c>
      <c r="BS110" s="25">
        <v>1050</v>
      </c>
      <c r="BT110" s="25">
        <v>2500</v>
      </c>
      <c r="BU110" s="25">
        <v>1800</v>
      </c>
      <c r="BV110" s="25">
        <v>1650</v>
      </c>
      <c r="BW110" s="25">
        <v>1350</v>
      </c>
      <c r="BX110" s="25">
        <v>1200</v>
      </c>
      <c r="BY110" s="25">
        <v>1000</v>
      </c>
    </row>
    <row r="111" spans="1:86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</row>
    <row r="112" spans="1:86" ht="21" x14ac:dyDescent="0.5">
      <c r="A112" s="3" t="s">
        <v>12</v>
      </c>
      <c r="B112" s="2"/>
      <c r="C112" s="1"/>
      <c r="D112" s="2"/>
      <c r="E112" s="2"/>
    </row>
    <row r="113" spans="1:57" x14ac:dyDescent="0.35">
      <c r="A113" s="28" t="s">
        <v>39</v>
      </c>
      <c r="B113" s="2">
        <v>0.14000000000000001</v>
      </c>
      <c r="C113" s="29" t="s">
        <v>48</v>
      </c>
      <c r="D113" s="19">
        <v>40</v>
      </c>
      <c r="E113" s="57">
        <v>50</v>
      </c>
      <c r="F113" s="58"/>
      <c r="G113" s="59">
        <v>60</v>
      </c>
      <c r="H113" s="60"/>
      <c r="I113" s="60"/>
      <c r="J113" s="59">
        <v>70</v>
      </c>
      <c r="K113" s="60"/>
      <c r="L113" s="60"/>
      <c r="M113" s="59">
        <v>80</v>
      </c>
      <c r="N113" s="60"/>
      <c r="O113" s="60"/>
      <c r="P113" s="59">
        <v>90</v>
      </c>
      <c r="Q113" s="60"/>
      <c r="R113" s="60"/>
    </row>
    <row r="114" spans="1:57" x14ac:dyDescent="0.35">
      <c r="A114" s="28" t="s">
        <v>40</v>
      </c>
      <c r="B114" s="16">
        <v>0.4</v>
      </c>
      <c r="C114" s="28" t="s">
        <v>57</v>
      </c>
      <c r="D114" s="54">
        <v>50</v>
      </c>
      <c r="E114" s="54">
        <v>50</v>
      </c>
      <c r="F114" s="54">
        <v>100</v>
      </c>
      <c r="G114" s="54">
        <f>G113</f>
        <v>60</v>
      </c>
      <c r="H114" s="54">
        <f>ROUNDUP(G113*1.5,-1)</f>
        <v>90</v>
      </c>
      <c r="I114" s="54">
        <f>G113*2</f>
        <v>120</v>
      </c>
      <c r="J114" s="54">
        <f>J113</f>
        <v>70</v>
      </c>
      <c r="K114" s="54">
        <f>ROUNDUP(J113*1.5,-1)</f>
        <v>110</v>
      </c>
      <c r="L114" s="54">
        <f>J113*2</f>
        <v>140</v>
      </c>
      <c r="M114" s="54">
        <f>M113</f>
        <v>80</v>
      </c>
      <c r="N114" s="54">
        <f>ROUNDUP(M113*1.5,-1)</f>
        <v>120</v>
      </c>
      <c r="O114" s="54">
        <f>M113*2</f>
        <v>160</v>
      </c>
      <c r="P114" s="54">
        <f>P113</f>
        <v>90</v>
      </c>
      <c r="Q114" s="54">
        <f>ROUNDUP(P113*1.5,-1)</f>
        <v>140</v>
      </c>
      <c r="R114" s="54">
        <f>P113*2</f>
        <v>180</v>
      </c>
    </row>
    <row r="115" spans="1:57" x14ac:dyDescent="0.35">
      <c r="A115" s="28" t="s">
        <v>41</v>
      </c>
      <c r="B115" s="2">
        <v>50</v>
      </c>
      <c r="C115" s="28" t="s">
        <v>58</v>
      </c>
      <c r="D115" s="13">
        <v>75</v>
      </c>
      <c r="E115" s="13">
        <v>75</v>
      </c>
      <c r="F115" s="13">
        <v>75</v>
      </c>
      <c r="G115" s="13">
        <v>75</v>
      </c>
      <c r="H115" s="13">
        <v>75</v>
      </c>
      <c r="I115" s="13">
        <v>75</v>
      </c>
      <c r="J115" s="13">
        <v>75</v>
      </c>
      <c r="K115" s="13">
        <v>75</v>
      </c>
      <c r="L115" s="13">
        <v>75</v>
      </c>
      <c r="M115" s="13">
        <v>75</v>
      </c>
      <c r="N115" s="13">
        <v>75</v>
      </c>
      <c r="O115" s="13">
        <v>75</v>
      </c>
      <c r="P115" s="13">
        <v>75</v>
      </c>
      <c r="Q115" s="13">
        <v>75</v>
      </c>
      <c r="R115" s="13">
        <v>75</v>
      </c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</row>
    <row r="116" spans="1:57" x14ac:dyDescent="0.35">
      <c r="A116" s="28" t="s">
        <v>42</v>
      </c>
      <c r="B116" s="2">
        <v>67</v>
      </c>
      <c r="C116" s="28" t="s">
        <v>50</v>
      </c>
      <c r="D116" s="55">
        <f t="shared" ref="D116:R116" si="73">1000/D115*(1/D114*1000)</f>
        <v>266.66666666666669</v>
      </c>
      <c r="E116" s="55">
        <f t="shared" si="73"/>
        <v>266.66666666666669</v>
      </c>
      <c r="F116" s="55">
        <f t="shared" si="73"/>
        <v>133.33333333333334</v>
      </c>
      <c r="G116" s="55">
        <f t="shared" si="73"/>
        <v>222.22222222222226</v>
      </c>
      <c r="H116" s="55">
        <f t="shared" si="73"/>
        <v>148.14814814814815</v>
      </c>
      <c r="I116" s="55">
        <f t="shared" si="73"/>
        <v>111.11111111111113</v>
      </c>
      <c r="J116" s="55">
        <f t="shared" si="73"/>
        <v>190.47619047619048</v>
      </c>
      <c r="K116" s="55">
        <f t="shared" si="73"/>
        <v>121.2121212121212</v>
      </c>
      <c r="L116" s="55">
        <f t="shared" si="73"/>
        <v>95.238095238095241</v>
      </c>
      <c r="M116" s="55">
        <f t="shared" si="73"/>
        <v>166.66666666666669</v>
      </c>
      <c r="N116" s="55">
        <f t="shared" si="73"/>
        <v>111.11111111111113</v>
      </c>
      <c r="O116" s="55">
        <f t="shared" si="73"/>
        <v>83.333333333333343</v>
      </c>
      <c r="P116" s="55">
        <f t="shared" si="73"/>
        <v>148.14814814814815</v>
      </c>
      <c r="Q116" s="55">
        <f t="shared" si="73"/>
        <v>95.238095238095241</v>
      </c>
      <c r="R116" s="55">
        <f t="shared" si="73"/>
        <v>74.074074074074076</v>
      </c>
    </row>
    <row r="117" spans="1:57" x14ac:dyDescent="0.35">
      <c r="A117" s="28" t="s">
        <v>43</v>
      </c>
      <c r="B117" s="2">
        <v>160</v>
      </c>
      <c r="C117" s="28" t="s">
        <v>51</v>
      </c>
      <c r="D117" s="13">
        <f>D116*$B$25</f>
        <v>17333.333333333336</v>
      </c>
      <c r="E117" s="13">
        <f t="shared" ref="E117:R117" si="74">E116*$B$25</f>
        <v>17333.333333333336</v>
      </c>
      <c r="F117" s="13">
        <f t="shared" si="74"/>
        <v>8666.6666666666679</v>
      </c>
      <c r="G117" s="13">
        <f t="shared" si="74"/>
        <v>14444.444444444447</v>
      </c>
      <c r="H117" s="13">
        <f t="shared" si="74"/>
        <v>9629.6296296296296</v>
      </c>
      <c r="I117" s="13">
        <f t="shared" si="74"/>
        <v>7222.2222222222235</v>
      </c>
      <c r="J117" s="13">
        <f t="shared" si="74"/>
        <v>12380.952380952382</v>
      </c>
      <c r="K117" s="13">
        <f t="shared" si="74"/>
        <v>7878.7878787878781</v>
      </c>
      <c r="L117" s="13">
        <f t="shared" si="74"/>
        <v>6190.4761904761908</v>
      </c>
      <c r="M117" s="13">
        <f t="shared" si="74"/>
        <v>10833.333333333334</v>
      </c>
      <c r="N117" s="13">
        <f t="shared" si="74"/>
        <v>7222.2222222222235</v>
      </c>
      <c r="O117" s="13">
        <f t="shared" si="74"/>
        <v>5416.666666666667</v>
      </c>
      <c r="P117" s="13">
        <f t="shared" si="74"/>
        <v>9629.6296296296296</v>
      </c>
      <c r="Q117" s="13">
        <f t="shared" si="74"/>
        <v>6190.4761904761908</v>
      </c>
      <c r="R117" s="13">
        <f t="shared" si="74"/>
        <v>4814.8148148148148</v>
      </c>
    </row>
    <row r="118" spans="1:57" x14ac:dyDescent="0.35">
      <c r="A118" s="28" t="s">
        <v>44</v>
      </c>
      <c r="B118" s="2">
        <v>5</v>
      </c>
      <c r="C118" s="28" t="s">
        <v>52</v>
      </c>
      <c r="D118" s="13">
        <f t="shared" ref="D118:R118" si="75">D116*$B114</f>
        <v>106.66666666666669</v>
      </c>
      <c r="E118" s="13">
        <f t="shared" si="75"/>
        <v>106.66666666666669</v>
      </c>
      <c r="F118" s="13">
        <f t="shared" si="75"/>
        <v>53.333333333333343</v>
      </c>
      <c r="G118" s="13">
        <f t="shared" si="75"/>
        <v>88.888888888888914</v>
      </c>
      <c r="H118" s="13">
        <f t="shared" si="75"/>
        <v>59.259259259259267</v>
      </c>
      <c r="I118" s="13">
        <f t="shared" si="75"/>
        <v>44.444444444444457</v>
      </c>
      <c r="J118" s="13">
        <f t="shared" si="75"/>
        <v>76.19047619047619</v>
      </c>
      <c r="K118" s="13">
        <f t="shared" si="75"/>
        <v>48.484848484848484</v>
      </c>
      <c r="L118" s="13">
        <f t="shared" si="75"/>
        <v>38.095238095238095</v>
      </c>
      <c r="M118" s="13">
        <f t="shared" si="75"/>
        <v>66.666666666666671</v>
      </c>
      <c r="N118" s="13">
        <f t="shared" si="75"/>
        <v>44.444444444444457</v>
      </c>
      <c r="O118" s="13">
        <f t="shared" si="75"/>
        <v>33.333333333333336</v>
      </c>
      <c r="P118" s="13">
        <f t="shared" si="75"/>
        <v>59.259259259259267</v>
      </c>
      <c r="Q118" s="13">
        <f t="shared" si="75"/>
        <v>38.095238095238095</v>
      </c>
      <c r="R118" s="13">
        <f t="shared" si="75"/>
        <v>29.629629629629633</v>
      </c>
    </row>
    <row r="119" spans="1:57" x14ac:dyDescent="0.35">
      <c r="A119" s="28" t="s">
        <v>45</v>
      </c>
      <c r="B119" s="2">
        <v>7500</v>
      </c>
      <c r="C119" s="28" t="s">
        <v>53</v>
      </c>
      <c r="D119" s="13">
        <f t="shared" ref="D119:R119" si="76">D116*$B115</f>
        <v>13333.333333333334</v>
      </c>
      <c r="E119" s="13">
        <f t="shared" si="76"/>
        <v>13333.333333333334</v>
      </c>
      <c r="F119" s="13">
        <f t="shared" si="76"/>
        <v>6666.666666666667</v>
      </c>
      <c r="G119" s="13">
        <f t="shared" si="76"/>
        <v>11111.111111111113</v>
      </c>
      <c r="H119" s="13">
        <f t="shared" si="76"/>
        <v>7407.4074074074078</v>
      </c>
      <c r="I119" s="13">
        <f t="shared" si="76"/>
        <v>5555.5555555555566</v>
      </c>
      <c r="J119" s="13">
        <f t="shared" si="76"/>
        <v>9523.8095238095248</v>
      </c>
      <c r="K119" s="13">
        <f t="shared" si="76"/>
        <v>6060.6060606060601</v>
      </c>
      <c r="L119" s="13">
        <f t="shared" si="76"/>
        <v>4761.9047619047624</v>
      </c>
      <c r="M119" s="13">
        <f t="shared" si="76"/>
        <v>8333.3333333333339</v>
      </c>
      <c r="N119" s="13">
        <f t="shared" si="76"/>
        <v>5555.5555555555566</v>
      </c>
      <c r="O119" s="13">
        <f t="shared" si="76"/>
        <v>4166.666666666667</v>
      </c>
      <c r="P119" s="13">
        <f t="shared" si="76"/>
        <v>7407.4074074074078</v>
      </c>
      <c r="Q119" s="13">
        <f t="shared" si="76"/>
        <v>4761.9047619047624</v>
      </c>
      <c r="R119" s="13">
        <f t="shared" si="76"/>
        <v>3703.7037037037039</v>
      </c>
    </row>
    <row r="120" spans="1:57" x14ac:dyDescent="0.35">
      <c r="A120" s="28" t="s">
        <v>46</v>
      </c>
      <c r="B120" s="2">
        <v>75</v>
      </c>
      <c r="C120" s="28" t="s">
        <v>54</v>
      </c>
      <c r="D120" s="56">
        <v>5800</v>
      </c>
      <c r="E120" s="56">
        <v>5400</v>
      </c>
      <c r="F120" s="56">
        <v>3200</v>
      </c>
      <c r="G120" s="56">
        <v>4000</v>
      </c>
      <c r="H120" s="56">
        <v>3200</v>
      </c>
      <c r="I120" s="56">
        <v>2900</v>
      </c>
      <c r="J120" s="56">
        <v>3700</v>
      </c>
      <c r="K120" s="56">
        <v>2900</v>
      </c>
      <c r="L120" s="56">
        <v>2600</v>
      </c>
      <c r="M120" s="56">
        <v>3100</v>
      </c>
      <c r="N120" s="56">
        <v>2600</v>
      </c>
      <c r="O120" s="56">
        <v>2250</v>
      </c>
      <c r="P120" s="56">
        <v>2950</v>
      </c>
      <c r="Q120" s="56">
        <v>2350</v>
      </c>
      <c r="R120" s="56">
        <v>2000</v>
      </c>
    </row>
    <row r="121" spans="1:57" x14ac:dyDescent="0.35">
      <c r="J121" t="s">
        <v>14</v>
      </c>
    </row>
    <row r="122" spans="1:57" ht="21" x14ac:dyDescent="0.5">
      <c r="A122" s="3" t="s">
        <v>13</v>
      </c>
      <c r="B122" s="2"/>
      <c r="C122" s="1"/>
      <c r="D122" s="2"/>
      <c r="E122" s="2"/>
    </row>
    <row r="123" spans="1:57" x14ac:dyDescent="0.35">
      <c r="A123" s="28" t="s">
        <v>39</v>
      </c>
      <c r="B123" s="2">
        <v>0.15</v>
      </c>
      <c r="C123" s="29" t="s">
        <v>48</v>
      </c>
      <c r="D123" s="61">
        <v>60</v>
      </c>
      <c r="E123" s="57"/>
      <c r="F123" s="58"/>
      <c r="G123" s="59">
        <v>70</v>
      </c>
      <c r="H123" s="60"/>
      <c r="I123" s="60"/>
      <c r="J123" s="59">
        <v>80</v>
      </c>
      <c r="K123" s="60"/>
      <c r="L123" s="60"/>
      <c r="M123" s="59">
        <v>90</v>
      </c>
      <c r="N123" s="60"/>
      <c r="O123" s="60"/>
      <c r="P123" s="59">
        <v>100</v>
      </c>
      <c r="Q123" s="60"/>
      <c r="R123" s="60"/>
    </row>
    <row r="124" spans="1:57" x14ac:dyDescent="0.35">
      <c r="A124" s="28" t="s">
        <v>40</v>
      </c>
      <c r="B124" s="16">
        <v>0.7</v>
      </c>
      <c r="C124" s="28" t="s">
        <v>57</v>
      </c>
      <c r="D124" s="54">
        <f>D123</f>
        <v>60</v>
      </c>
      <c r="E124" s="54">
        <f>ROUNDUP(D123*1.5,-1)</f>
        <v>90</v>
      </c>
      <c r="F124" s="54">
        <f>D123*2</f>
        <v>120</v>
      </c>
      <c r="G124" s="54">
        <f>G123</f>
        <v>70</v>
      </c>
      <c r="H124" s="54">
        <f>ROUNDUP(G123*1.5,-1)</f>
        <v>110</v>
      </c>
      <c r="I124" s="54">
        <f>G123*2</f>
        <v>140</v>
      </c>
      <c r="J124" s="54">
        <f>J123</f>
        <v>80</v>
      </c>
      <c r="K124" s="54">
        <f>ROUNDUP(J123*1.5,-1)</f>
        <v>120</v>
      </c>
      <c r="L124" s="54">
        <f>J123*2</f>
        <v>160</v>
      </c>
      <c r="M124" s="54">
        <f>M123</f>
        <v>90</v>
      </c>
      <c r="N124" s="54">
        <f>ROUNDUP(M123*1.5,-1)</f>
        <v>140</v>
      </c>
      <c r="O124" s="54">
        <f>M123*2</f>
        <v>180</v>
      </c>
      <c r="P124" s="54">
        <f>P123</f>
        <v>100</v>
      </c>
      <c r="Q124" s="54">
        <f>ROUNDUP(P123*1.5,-1)</f>
        <v>150</v>
      </c>
      <c r="R124" s="54">
        <f>P123*2</f>
        <v>200</v>
      </c>
    </row>
    <row r="125" spans="1:57" x14ac:dyDescent="0.35">
      <c r="A125" s="28" t="s">
        <v>41</v>
      </c>
      <c r="B125" s="2">
        <v>97</v>
      </c>
      <c r="C125" s="28" t="s">
        <v>58</v>
      </c>
      <c r="D125" s="13">
        <v>120</v>
      </c>
      <c r="E125" s="13">
        <v>120</v>
      </c>
      <c r="F125" s="13">
        <v>120</v>
      </c>
      <c r="G125" s="13">
        <v>120</v>
      </c>
      <c r="H125" s="13">
        <v>120</v>
      </c>
      <c r="I125" s="13">
        <v>120</v>
      </c>
      <c r="J125" s="13">
        <v>120</v>
      </c>
      <c r="K125" s="13">
        <v>120</v>
      </c>
      <c r="L125" s="13">
        <v>120</v>
      </c>
      <c r="M125" s="13">
        <v>120</v>
      </c>
      <c r="N125" s="13">
        <v>120</v>
      </c>
      <c r="O125" s="13">
        <v>120</v>
      </c>
      <c r="P125" s="13">
        <v>120</v>
      </c>
      <c r="Q125" s="13">
        <v>120</v>
      </c>
      <c r="R125" s="13">
        <v>120</v>
      </c>
    </row>
    <row r="126" spans="1:57" x14ac:dyDescent="0.35">
      <c r="A126" s="28" t="s">
        <v>42</v>
      </c>
      <c r="B126" s="2">
        <v>67</v>
      </c>
      <c r="C126" s="28" t="s">
        <v>50</v>
      </c>
      <c r="D126" s="55">
        <f t="shared" ref="D126:R126" si="77">1000/D125*(1/D124*1000)</f>
        <v>138.88888888888891</v>
      </c>
      <c r="E126" s="55">
        <f t="shared" si="77"/>
        <v>92.592592592592595</v>
      </c>
      <c r="F126" s="55">
        <f t="shared" si="77"/>
        <v>69.444444444444457</v>
      </c>
      <c r="G126" s="55">
        <f t="shared" si="77"/>
        <v>119.04761904761905</v>
      </c>
      <c r="H126" s="55">
        <f t="shared" si="77"/>
        <v>75.757575757575751</v>
      </c>
      <c r="I126" s="55">
        <f t="shared" si="77"/>
        <v>59.523809523809526</v>
      </c>
      <c r="J126" s="55">
        <f t="shared" si="77"/>
        <v>104.16666666666667</v>
      </c>
      <c r="K126" s="55">
        <f t="shared" si="77"/>
        <v>69.444444444444457</v>
      </c>
      <c r="L126" s="55">
        <f t="shared" si="77"/>
        <v>52.083333333333336</v>
      </c>
      <c r="M126" s="55">
        <f t="shared" si="77"/>
        <v>92.592592592592595</v>
      </c>
      <c r="N126" s="55">
        <f t="shared" si="77"/>
        <v>59.523809523809526</v>
      </c>
      <c r="O126" s="55">
        <f t="shared" si="77"/>
        <v>46.296296296296298</v>
      </c>
      <c r="P126" s="55">
        <f t="shared" si="77"/>
        <v>83.333333333333343</v>
      </c>
      <c r="Q126" s="55">
        <f t="shared" si="77"/>
        <v>55.555555555555564</v>
      </c>
      <c r="R126" s="55">
        <f t="shared" si="77"/>
        <v>41.666666666666671</v>
      </c>
    </row>
    <row r="127" spans="1:57" x14ac:dyDescent="0.35">
      <c r="A127" s="28" t="s">
        <v>43</v>
      </c>
      <c r="B127" s="2">
        <v>160</v>
      </c>
      <c r="C127" s="28" t="s">
        <v>51</v>
      </c>
      <c r="D127" s="13">
        <f>D126*$B$35</f>
        <v>9027.7777777777792</v>
      </c>
      <c r="E127" s="13">
        <f t="shared" ref="E127:R127" si="78">E126*$B$35</f>
        <v>6018.5185185185182</v>
      </c>
      <c r="F127" s="13">
        <f t="shared" si="78"/>
        <v>4513.8888888888896</v>
      </c>
      <c r="G127" s="13">
        <f t="shared" si="78"/>
        <v>7738.0952380952385</v>
      </c>
      <c r="H127" s="13">
        <f t="shared" si="78"/>
        <v>4924.242424242424</v>
      </c>
      <c r="I127" s="13">
        <f t="shared" si="78"/>
        <v>3869.0476190476193</v>
      </c>
      <c r="J127" s="13">
        <f t="shared" si="78"/>
        <v>6770.8333333333339</v>
      </c>
      <c r="K127" s="13">
        <f t="shared" si="78"/>
        <v>4513.8888888888896</v>
      </c>
      <c r="L127" s="13">
        <f t="shared" si="78"/>
        <v>3385.416666666667</v>
      </c>
      <c r="M127" s="13">
        <f t="shared" si="78"/>
        <v>6018.5185185185182</v>
      </c>
      <c r="N127" s="13">
        <f t="shared" si="78"/>
        <v>3869.0476190476193</v>
      </c>
      <c r="O127" s="13">
        <f t="shared" si="78"/>
        <v>3009.2592592592591</v>
      </c>
      <c r="P127" s="13">
        <f t="shared" si="78"/>
        <v>5416.666666666667</v>
      </c>
      <c r="Q127" s="13">
        <f t="shared" si="78"/>
        <v>3611.1111111111118</v>
      </c>
      <c r="R127" s="13">
        <f t="shared" si="78"/>
        <v>2708.3333333333335</v>
      </c>
    </row>
    <row r="128" spans="1:57" x14ac:dyDescent="0.35">
      <c r="A128" s="28" t="s">
        <v>44</v>
      </c>
      <c r="B128" s="2">
        <v>5</v>
      </c>
      <c r="C128" s="28" t="s">
        <v>52</v>
      </c>
      <c r="D128" s="13">
        <f t="shared" ref="D128:R128" si="79">D126*$B124</f>
        <v>97.222222222222229</v>
      </c>
      <c r="E128" s="13">
        <f t="shared" si="79"/>
        <v>64.81481481481481</v>
      </c>
      <c r="F128" s="13">
        <f t="shared" si="79"/>
        <v>48.611111111111114</v>
      </c>
      <c r="G128" s="13">
        <f t="shared" si="79"/>
        <v>83.333333333333329</v>
      </c>
      <c r="H128" s="13">
        <f t="shared" si="79"/>
        <v>53.030303030303024</v>
      </c>
      <c r="I128" s="13">
        <f t="shared" si="79"/>
        <v>41.666666666666664</v>
      </c>
      <c r="J128" s="13">
        <f t="shared" si="79"/>
        <v>72.916666666666671</v>
      </c>
      <c r="K128" s="13">
        <f t="shared" si="79"/>
        <v>48.611111111111114</v>
      </c>
      <c r="L128" s="13">
        <f t="shared" si="79"/>
        <v>36.458333333333336</v>
      </c>
      <c r="M128" s="13">
        <f t="shared" si="79"/>
        <v>64.81481481481481</v>
      </c>
      <c r="N128" s="13">
        <f t="shared" si="79"/>
        <v>41.666666666666664</v>
      </c>
      <c r="O128" s="13">
        <f t="shared" si="79"/>
        <v>32.407407407407405</v>
      </c>
      <c r="P128" s="13">
        <f t="shared" si="79"/>
        <v>58.333333333333336</v>
      </c>
      <c r="Q128" s="13">
        <f t="shared" si="79"/>
        <v>38.888888888888893</v>
      </c>
      <c r="R128" s="13">
        <f t="shared" si="79"/>
        <v>29.166666666666668</v>
      </c>
    </row>
    <row r="129" spans="1:18" x14ac:dyDescent="0.35">
      <c r="A129" s="28" t="s">
        <v>45</v>
      </c>
      <c r="B129" s="2">
        <v>7500</v>
      </c>
      <c r="C129" s="28" t="s">
        <v>53</v>
      </c>
      <c r="D129" s="13">
        <f t="shared" ref="D129:R129" si="80">D126*$B125</f>
        <v>13472.222222222224</v>
      </c>
      <c r="E129" s="13">
        <f t="shared" si="80"/>
        <v>8981.4814814814818</v>
      </c>
      <c r="F129" s="13">
        <f t="shared" si="80"/>
        <v>6736.1111111111122</v>
      </c>
      <c r="G129" s="13">
        <f t="shared" si="80"/>
        <v>11547.619047619048</v>
      </c>
      <c r="H129" s="13">
        <f t="shared" si="80"/>
        <v>7348.484848484848</v>
      </c>
      <c r="I129" s="13">
        <f t="shared" si="80"/>
        <v>5773.8095238095239</v>
      </c>
      <c r="J129" s="13">
        <f t="shared" si="80"/>
        <v>10104.166666666668</v>
      </c>
      <c r="K129" s="13">
        <f t="shared" si="80"/>
        <v>6736.1111111111122</v>
      </c>
      <c r="L129" s="13">
        <f t="shared" si="80"/>
        <v>5052.0833333333339</v>
      </c>
      <c r="M129" s="13">
        <f t="shared" si="80"/>
        <v>8981.4814814814818</v>
      </c>
      <c r="N129" s="13">
        <f t="shared" si="80"/>
        <v>5773.8095238095239</v>
      </c>
      <c r="O129" s="13">
        <f t="shared" si="80"/>
        <v>4490.7407407407409</v>
      </c>
      <c r="P129" s="13">
        <f t="shared" si="80"/>
        <v>8083.3333333333339</v>
      </c>
      <c r="Q129" s="13">
        <f t="shared" si="80"/>
        <v>5388.8888888888896</v>
      </c>
      <c r="R129" s="13">
        <f t="shared" si="80"/>
        <v>4041.666666666667</v>
      </c>
    </row>
    <row r="130" spans="1:18" x14ac:dyDescent="0.35">
      <c r="A130" s="28" t="s">
        <v>46</v>
      </c>
      <c r="B130" s="2">
        <v>120</v>
      </c>
      <c r="C130" s="28" t="s">
        <v>54</v>
      </c>
      <c r="D130" s="56">
        <v>3200</v>
      </c>
      <c r="E130" s="56">
        <v>2600</v>
      </c>
      <c r="F130" s="56">
        <v>2250</v>
      </c>
      <c r="G130" s="56">
        <v>2900</v>
      </c>
      <c r="H130" s="56">
        <v>2350</v>
      </c>
      <c r="I130" s="56">
        <v>2000</v>
      </c>
      <c r="J130" s="56">
        <v>2600</v>
      </c>
      <c r="K130" s="56">
        <v>1950</v>
      </c>
      <c r="L130" s="56">
        <v>2000</v>
      </c>
      <c r="M130" s="56">
        <v>2250</v>
      </c>
      <c r="N130" s="56">
        <v>1800</v>
      </c>
      <c r="O130" s="56">
        <v>1650</v>
      </c>
      <c r="P130" s="56">
        <v>1950</v>
      </c>
      <c r="Q130" s="56">
        <v>1600</v>
      </c>
      <c r="R130" s="56">
        <v>1350</v>
      </c>
    </row>
  </sheetData>
  <mergeCells count="134">
    <mergeCell ref="V32:W32"/>
    <mergeCell ref="S32:U32"/>
    <mergeCell ref="P32:R32"/>
    <mergeCell ref="M32:O32"/>
    <mergeCell ref="J32:L32"/>
    <mergeCell ref="G32:I32"/>
    <mergeCell ref="E32:F32"/>
    <mergeCell ref="D22:E22"/>
    <mergeCell ref="H22:J22"/>
    <mergeCell ref="K22:M22"/>
    <mergeCell ref="N22:P22"/>
    <mergeCell ref="Q22:S22"/>
    <mergeCell ref="T22:V22"/>
    <mergeCell ref="F22:G22"/>
    <mergeCell ref="W22:X22"/>
    <mergeCell ref="Y22:Z22"/>
    <mergeCell ref="AA22:AB22"/>
    <mergeCell ref="AC22:AD22"/>
    <mergeCell ref="AK42:AN42"/>
    <mergeCell ref="AG42:AJ42"/>
    <mergeCell ref="AC42:AF42"/>
    <mergeCell ref="Y42:AB42"/>
    <mergeCell ref="AF32:AG32"/>
    <mergeCell ref="AD32:AE32"/>
    <mergeCell ref="AB32:AC32"/>
    <mergeCell ref="Z32:AA32"/>
    <mergeCell ref="X32:Y32"/>
    <mergeCell ref="D42:E42"/>
    <mergeCell ref="F42:I42"/>
    <mergeCell ref="J42:N42"/>
    <mergeCell ref="O42:S42"/>
    <mergeCell ref="T42:X42"/>
    <mergeCell ref="BL93:BP93"/>
    <mergeCell ref="BG93:BK93"/>
    <mergeCell ref="BB93:BF93"/>
    <mergeCell ref="AW93:BA93"/>
    <mergeCell ref="AW83:AY83"/>
    <mergeCell ref="AH73:AK73"/>
    <mergeCell ref="AL73:AO73"/>
    <mergeCell ref="E73:F73"/>
    <mergeCell ref="G73:I73"/>
    <mergeCell ref="J73:M73"/>
    <mergeCell ref="N73:Q73"/>
    <mergeCell ref="R73:U73"/>
    <mergeCell ref="Z73:AC73"/>
    <mergeCell ref="AD73:AG73"/>
    <mergeCell ref="E53:F53"/>
    <mergeCell ref="E63:F63"/>
    <mergeCell ref="G53:I53"/>
    <mergeCell ref="J53:M53"/>
    <mergeCell ref="N53:Q53"/>
    <mergeCell ref="BG103:BM103"/>
    <mergeCell ref="E103:F103"/>
    <mergeCell ref="G103:I103"/>
    <mergeCell ref="J103:M103"/>
    <mergeCell ref="G93:I93"/>
    <mergeCell ref="E93:F93"/>
    <mergeCell ref="J93:M93"/>
    <mergeCell ref="E83:F83"/>
    <mergeCell ref="G83:I83"/>
    <mergeCell ref="J83:M83"/>
    <mergeCell ref="R83:U83"/>
    <mergeCell ref="V83:X83"/>
    <mergeCell ref="Y83:AA83"/>
    <mergeCell ref="AB83:AD83"/>
    <mergeCell ref="AR93:AV93"/>
    <mergeCell ref="AM93:AQ93"/>
    <mergeCell ref="AH93:AL93"/>
    <mergeCell ref="AT83:AV83"/>
    <mergeCell ref="AQ83:AS83"/>
    <mergeCell ref="N83:Q83"/>
    <mergeCell ref="BN103:BS103"/>
    <mergeCell ref="BT103:BY103"/>
    <mergeCell ref="AS103:AY103"/>
    <mergeCell ref="AZ103:BF103"/>
    <mergeCell ref="AP73:AS73"/>
    <mergeCell ref="AT73:AW73"/>
    <mergeCell ref="AX73:BA73"/>
    <mergeCell ref="BB73:BE73"/>
    <mergeCell ref="O102:Z102"/>
    <mergeCell ref="S93:W93"/>
    <mergeCell ref="X93:AB93"/>
    <mergeCell ref="AC93:AG93"/>
    <mergeCell ref="S103:X103"/>
    <mergeCell ref="Y103:AD103"/>
    <mergeCell ref="AE103:AK103"/>
    <mergeCell ref="AL103:AR103"/>
    <mergeCell ref="N103:R103"/>
    <mergeCell ref="N93:R93"/>
    <mergeCell ref="O92:Z92"/>
    <mergeCell ref="AN83:AP83"/>
    <mergeCell ref="AK83:AM83"/>
    <mergeCell ref="AH83:AJ83"/>
    <mergeCell ref="AE83:AG83"/>
    <mergeCell ref="V73:Y73"/>
    <mergeCell ref="F2:I2"/>
    <mergeCell ref="Z2:AC2"/>
    <mergeCell ref="R12:T12"/>
    <mergeCell ref="U12:W12"/>
    <mergeCell ref="X12:Z12"/>
    <mergeCell ref="AA12:AC12"/>
    <mergeCell ref="AD12:AF12"/>
    <mergeCell ref="AG12:AI12"/>
    <mergeCell ref="D2:E2"/>
    <mergeCell ref="J2:M2"/>
    <mergeCell ref="N2:Q2"/>
    <mergeCell ref="R2:U2"/>
    <mergeCell ref="V2:Y2"/>
    <mergeCell ref="D12:E12"/>
    <mergeCell ref="F12:H12"/>
    <mergeCell ref="I12:K12"/>
    <mergeCell ref="L12:N12"/>
    <mergeCell ref="O12:Q12"/>
    <mergeCell ref="R53:U53"/>
    <mergeCell ref="V53:Y53"/>
    <mergeCell ref="AE63:AG63"/>
    <mergeCell ref="G63:I63"/>
    <mergeCell ref="J63:L63"/>
    <mergeCell ref="M63:O63"/>
    <mergeCell ref="P63:R63"/>
    <mergeCell ref="S63:U63"/>
    <mergeCell ref="V63:X63"/>
    <mergeCell ref="Y63:AA63"/>
    <mergeCell ref="AB63:AD63"/>
    <mergeCell ref="E113:F113"/>
    <mergeCell ref="G113:I113"/>
    <mergeCell ref="J113:L113"/>
    <mergeCell ref="M113:O113"/>
    <mergeCell ref="P113:R113"/>
    <mergeCell ref="D123:F123"/>
    <mergeCell ref="G123:I123"/>
    <mergeCell ref="J123:L123"/>
    <mergeCell ref="M123:O123"/>
    <mergeCell ref="P123:R1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>
      <selection activeCell="H46" sqref="H46"/>
    </sheetView>
  </sheetViews>
  <sheetFormatPr defaultRowHeight="14.5" x14ac:dyDescent="0.35"/>
  <cols>
    <col min="4" max="4" width="10.453125" customWidth="1"/>
    <col min="9" max="9" width="12.1796875" customWidth="1"/>
    <col min="14" max="14" width="11.81640625" customWidth="1"/>
    <col min="19" max="19" width="12.453125" customWidth="1"/>
    <col min="24" max="24" width="11.7265625" customWidth="1"/>
  </cols>
  <sheetData>
    <row r="1" spans="1:29" x14ac:dyDescent="0.35">
      <c r="A1" s="75" t="s">
        <v>22</v>
      </c>
      <c r="B1" s="75"/>
      <c r="C1" s="75"/>
      <c r="D1" s="75"/>
      <c r="E1" s="75"/>
      <c r="F1" s="75" t="s">
        <v>23</v>
      </c>
      <c r="G1" s="75"/>
      <c r="H1" s="75"/>
      <c r="I1" s="75"/>
      <c r="J1" s="75"/>
      <c r="K1" s="75" t="s">
        <v>24</v>
      </c>
      <c r="L1" s="75"/>
      <c r="M1" s="75"/>
      <c r="N1" s="75"/>
      <c r="O1" s="75"/>
      <c r="P1" s="75" t="s">
        <v>25</v>
      </c>
      <c r="Q1" s="75"/>
      <c r="R1" s="75"/>
      <c r="S1" s="75"/>
      <c r="T1" s="75"/>
      <c r="U1" s="75" t="s">
        <v>31</v>
      </c>
      <c r="V1" s="75"/>
      <c r="W1" s="75"/>
      <c r="X1" s="75"/>
      <c r="Y1" s="75"/>
      <c r="AB1" s="15"/>
      <c r="AC1" s="15"/>
    </row>
    <row r="2" spans="1:29" x14ac:dyDescent="0.35">
      <c r="A2" s="51" t="s">
        <v>59</v>
      </c>
      <c r="B2" s="51" t="s">
        <v>60</v>
      </c>
      <c r="C2" s="51" t="s">
        <v>61</v>
      </c>
      <c r="D2" s="51" t="s">
        <v>62</v>
      </c>
      <c r="E2" s="51" t="s">
        <v>63</v>
      </c>
      <c r="F2" s="51" t="s">
        <v>59</v>
      </c>
      <c r="G2" s="51" t="s">
        <v>60</v>
      </c>
      <c r="H2" s="51" t="s">
        <v>61</v>
      </c>
      <c r="I2" s="51" t="s">
        <v>62</v>
      </c>
      <c r="J2" s="51" t="s">
        <v>63</v>
      </c>
      <c r="K2" s="51" t="s">
        <v>59</v>
      </c>
      <c r="L2" s="51" t="s">
        <v>60</v>
      </c>
      <c r="M2" s="51" t="s">
        <v>61</v>
      </c>
      <c r="N2" s="51" t="s">
        <v>62</v>
      </c>
      <c r="O2" s="51" t="s">
        <v>63</v>
      </c>
      <c r="P2" s="51" t="s">
        <v>59</v>
      </c>
      <c r="Q2" s="51" t="s">
        <v>60</v>
      </c>
      <c r="R2" s="51" t="s">
        <v>61</v>
      </c>
      <c r="S2" s="51" t="s">
        <v>62</v>
      </c>
      <c r="T2" s="51" t="s">
        <v>63</v>
      </c>
      <c r="U2" s="51" t="s">
        <v>59</v>
      </c>
      <c r="V2" s="51" t="s">
        <v>60</v>
      </c>
      <c r="W2" s="51" t="s">
        <v>61</v>
      </c>
      <c r="X2" s="51" t="s">
        <v>62</v>
      </c>
      <c r="Y2" s="51" t="s">
        <v>63</v>
      </c>
    </row>
    <row r="3" spans="1:29" x14ac:dyDescent="0.35">
      <c r="A3">
        <v>80</v>
      </c>
      <c r="B3">
        <v>100</v>
      </c>
      <c r="C3">
        <v>60</v>
      </c>
      <c r="D3">
        <v>2900</v>
      </c>
      <c r="E3">
        <v>1</v>
      </c>
      <c r="F3">
        <v>100</v>
      </c>
      <c r="G3">
        <v>90</v>
      </c>
      <c r="H3">
        <v>50</v>
      </c>
      <c r="I3">
        <v>5100</v>
      </c>
      <c r="J3">
        <v>1</v>
      </c>
      <c r="K3">
        <v>230</v>
      </c>
      <c r="L3">
        <v>140</v>
      </c>
      <c r="M3">
        <v>80</v>
      </c>
      <c r="N3">
        <v>2000</v>
      </c>
      <c r="O3">
        <v>1</v>
      </c>
      <c r="P3">
        <v>120</v>
      </c>
      <c r="Q3">
        <v>200</v>
      </c>
      <c r="R3">
        <v>120</v>
      </c>
      <c r="S3">
        <v>2500</v>
      </c>
      <c r="T3">
        <v>1</v>
      </c>
      <c r="U3">
        <v>170</v>
      </c>
      <c r="V3">
        <v>140</v>
      </c>
      <c r="W3" s="14">
        <v>90</v>
      </c>
      <c r="X3">
        <v>2000</v>
      </c>
      <c r="Y3">
        <v>1</v>
      </c>
    </row>
    <row r="4" spans="1:29" x14ac:dyDescent="0.35">
      <c r="A4">
        <v>120</v>
      </c>
      <c r="B4">
        <v>100</v>
      </c>
      <c r="C4">
        <v>60</v>
      </c>
      <c r="D4">
        <v>2550</v>
      </c>
      <c r="E4">
        <v>1</v>
      </c>
      <c r="F4">
        <v>170</v>
      </c>
      <c r="G4">
        <v>120</v>
      </c>
      <c r="H4">
        <v>70</v>
      </c>
      <c r="I4">
        <v>2300</v>
      </c>
      <c r="J4">
        <v>1</v>
      </c>
      <c r="K4">
        <v>250</v>
      </c>
      <c r="L4">
        <v>160</v>
      </c>
      <c r="M4">
        <v>90</v>
      </c>
      <c r="N4">
        <v>1650</v>
      </c>
      <c r="O4">
        <v>1</v>
      </c>
      <c r="P4">
        <v>150</v>
      </c>
      <c r="Q4">
        <v>160</v>
      </c>
      <c r="R4">
        <v>130</v>
      </c>
      <c r="S4">
        <v>2600</v>
      </c>
      <c r="T4">
        <v>1</v>
      </c>
      <c r="U4">
        <v>330</v>
      </c>
      <c r="V4">
        <v>170</v>
      </c>
      <c r="W4">
        <v>110</v>
      </c>
      <c r="X4">
        <v>2200</v>
      </c>
      <c r="Y4">
        <v>1</v>
      </c>
    </row>
    <row r="5" spans="1:29" x14ac:dyDescent="0.35">
      <c r="A5">
        <v>120</v>
      </c>
      <c r="B5">
        <v>120</v>
      </c>
      <c r="C5">
        <v>70</v>
      </c>
      <c r="D5">
        <v>2000</v>
      </c>
      <c r="E5">
        <v>1</v>
      </c>
      <c r="F5">
        <v>130</v>
      </c>
      <c r="G5">
        <v>130</v>
      </c>
      <c r="H5">
        <v>70</v>
      </c>
      <c r="I5">
        <v>2700</v>
      </c>
      <c r="J5">
        <v>1</v>
      </c>
      <c r="K5">
        <v>150</v>
      </c>
      <c r="L5">
        <v>180</v>
      </c>
      <c r="M5">
        <v>90</v>
      </c>
      <c r="N5">
        <v>1850</v>
      </c>
      <c r="O5">
        <v>1</v>
      </c>
      <c r="P5">
        <v>200</v>
      </c>
      <c r="Q5">
        <v>140</v>
      </c>
      <c r="R5">
        <v>130</v>
      </c>
      <c r="S5">
        <v>2500</v>
      </c>
      <c r="T5">
        <v>1</v>
      </c>
      <c r="Y5" s="14"/>
    </row>
    <row r="6" spans="1:29" x14ac:dyDescent="0.35">
      <c r="A6">
        <v>80</v>
      </c>
      <c r="B6">
        <v>120</v>
      </c>
      <c r="C6">
        <v>70</v>
      </c>
      <c r="D6">
        <v>2250</v>
      </c>
      <c r="E6">
        <v>1</v>
      </c>
      <c r="F6">
        <v>175</v>
      </c>
      <c r="G6">
        <v>130</v>
      </c>
      <c r="H6">
        <v>80</v>
      </c>
      <c r="I6">
        <v>2050</v>
      </c>
      <c r="J6">
        <v>1</v>
      </c>
      <c r="K6">
        <v>100</v>
      </c>
      <c r="L6">
        <v>180</v>
      </c>
      <c r="M6">
        <v>90</v>
      </c>
      <c r="N6">
        <v>2600</v>
      </c>
      <c r="O6">
        <v>1</v>
      </c>
      <c r="P6">
        <v>450</v>
      </c>
      <c r="Q6">
        <v>220</v>
      </c>
      <c r="R6">
        <v>140</v>
      </c>
      <c r="S6">
        <v>1800</v>
      </c>
      <c r="T6">
        <v>2</v>
      </c>
    </row>
    <row r="7" spans="1:29" x14ac:dyDescent="0.35">
      <c r="A7">
        <v>100</v>
      </c>
      <c r="B7">
        <v>100</v>
      </c>
      <c r="C7">
        <v>80</v>
      </c>
      <c r="D7">
        <v>2300</v>
      </c>
      <c r="E7">
        <v>1</v>
      </c>
      <c r="F7" s="14">
        <v>150</v>
      </c>
      <c r="G7">
        <v>140</v>
      </c>
      <c r="H7">
        <v>80</v>
      </c>
      <c r="I7">
        <v>2100</v>
      </c>
      <c r="J7">
        <v>1</v>
      </c>
      <c r="K7">
        <v>250</v>
      </c>
      <c r="L7">
        <v>180</v>
      </c>
      <c r="M7">
        <v>100</v>
      </c>
      <c r="N7">
        <v>1200</v>
      </c>
      <c r="O7">
        <v>1</v>
      </c>
      <c r="P7">
        <v>240</v>
      </c>
      <c r="Q7">
        <v>160</v>
      </c>
      <c r="R7">
        <v>140</v>
      </c>
      <c r="S7">
        <v>3500</v>
      </c>
      <c r="T7">
        <v>2</v>
      </c>
      <c r="Y7" s="14"/>
    </row>
    <row r="8" spans="1:29" x14ac:dyDescent="0.35">
      <c r="A8">
        <v>150</v>
      </c>
      <c r="B8">
        <v>100</v>
      </c>
      <c r="C8">
        <v>80</v>
      </c>
      <c r="D8">
        <v>1700</v>
      </c>
      <c r="E8">
        <v>1</v>
      </c>
      <c r="F8">
        <v>180</v>
      </c>
      <c r="G8">
        <v>140</v>
      </c>
      <c r="H8">
        <v>80</v>
      </c>
      <c r="I8">
        <v>1900</v>
      </c>
      <c r="J8">
        <v>1</v>
      </c>
      <c r="K8">
        <v>150</v>
      </c>
      <c r="L8">
        <v>110</v>
      </c>
      <c r="M8">
        <v>100</v>
      </c>
      <c r="N8">
        <v>3000</v>
      </c>
      <c r="O8">
        <v>1</v>
      </c>
      <c r="P8">
        <v>370</v>
      </c>
      <c r="Q8">
        <v>160</v>
      </c>
      <c r="R8">
        <v>150</v>
      </c>
      <c r="S8">
        <v>2450</v>
      </c>
      <c r="T8">
        <v>2</v>
      </c>
    </row>
    <row r="9" spans="1:29" x14ac:dyDescent="0.35">
      <c r="F9">
        <v>80</v>
      </c>
      <c r="G9">
        <v>160</v>
      </c>
      <c r="H9">
        <v>80</v>
      </c>
      <c r="I9">
        <v>2800</v>
      </c>
      <c r="J9">
        <v>1</v>
      </c>
      <c r="K9">
        <v>270</v>
      </c>
      <c r="L9">
        <v>120</v>
      </c>
      <c r="M9">
        <v>100</v>
      </c>
      <c r="N9">
        <v>3800</v>
      </c>
      <c r="O9">
        <v>2</v>
      </c>
      <c r="P9">
        <v>250</v>
      </c>
      <c r="Q9">
        <v>100</v>
      </c>
      <c r="R9">
        <v>150</v>
      </c>
      <c r="S9">
        <v>3000</v>
      </c>
      <c r="T9">
        <v>1</v>
      </c>
    </row>
    <row r="10" spans="1:29" x14ac:dyDescent="0.35">
      <c r="F10">
        <v>100</v>
      </c>
      <c r="G10">
        <v>160</v>
      </c>
      <c r="H10">
        <v>80</v>
      </c>
      <c r="I10">
        <v>2500</v>
      </c>
      <c r="J10">
        <v>1</v>
      </c>
      <c r="K10">
        <v>270</v>
      </c>
      <c r="L10">
        <v>140</v>
      </c>
      <c r="M10">
        <v>100</v>
      </c>
      <c r="N10">
        <v>3000</v>
      </c>
      <c r="O10">
        <v>2</v>
      </c>
      <c r="P10">
        <v>300</v>
      </c>
      <c r="Q10">
        <v>180</v>
      </c>
      <c r="R10">
        <v>160</v>
      </c>
      <c r="S10">
        <v>2500</v>
      </c>
      <c r="T10">
        <v>2</v>
      </c>
    </row>
    <row r="11" spans="1:29" x14ac:dyDescent="0.35">
      <c r="F11">
        <v>100</v>
      </c>
      <c r="G11">
        <v>160</v>
      </c>
      <c r="H11">
        <v>90</v>
      </c>
      <c r="I11">
        <v>2350</v>
      </c>
      <c r="J11">
        <v>1</v>
      </c>
      <c r="K11">
        <v>320</v>
      </c>
      <c r="L11">
        <v>190</v>
      </c>
      <c r="M11">
        <v>110</v>
      </c>
      <c r="N11">
        <v>1100</v>
      </c>
      <c r="O11">
        <v>1</v>
      </c>
      <c r="P11">
        <v>150</v>
      </c>
      <c r="Q11">
        <v>160</v>
      </c>
      <c r="R11">
        <v>160</v>
      </c>
      <c r="S11">
        <v>2300</v>
      </c>
      <c r="T11">
        <v>1</v>
      </c>
    </row>
    <row r="12" spans="1:29" x14ac:dyDescent="0.35">
      <c r="F12">
        <v>120</v>
      </c>
      <c r="G12">
        <v>160</v>
      </c>
      <c r="H12">
        <v>90</v>
      </c>
      <c r="I12">
        <v>2000</v>
      </c>
      <c r="J12">
        <v>1</v>
      </c>
      <c r="K12">
        <v>150</v>
      </c>
      <c r="L12">
        <v>160</v>
      </c>
      <c r="M12">
        <v>110</v>
      </c>
      <c r="N12">
        <v>1900</v>
      </c>
      <c r="O12">
        <v>1</v>
      </c>
      <c r="P12">
        <v>200</v>
      </c>
      <c r="Q12">
        <v>140</v>
      </c>
      <c r="R12">
        <v>160</v>
      </c>
      <c r="S12">
        <v>2200</v>
      </c>
      <c r="T12">
        <v>1</v>
      </c>
    </row>
    <row r="13" spans="1:29" x14ac:dyDescent="0.35">
      <c r="F13">
        <v>150</v>
      </c>
      <c r="G13">
        <v>160</v>
      </c>
      <c r="H13">
        <v>90</v>
      </c>
      <c r="I13">
        <v>1800</v>
      </c>
      <c r="J13">
        <v>1</v>
      </c>
      <c r="K13">
        <v>150</v>
      </c>
      <c r="L13">
        <v>180</v>
      </c>
      <c r="M13">
        <v>120</v>
      </c>
      <c r="N13">
        <v>1700</v>
      </c>
      <c r="O13">
        <v>1</v>
      </c>
      <c r="P13">
        <v>250</v>
      </c>
      <c r="Q13">
        <v>100</v>
      </c>
      <c r="R13">
        <v>160</v>
      </c>
      <c r="S13">
        <v>2700</v>
      </c>
      <c r="T13">
        <v>1</v>
      </c>
    </row>
    <row r="14" spans="1:29" x14ac:dyDescent="0.35">
      <c r="F14">
        <v>200</v>
      </c>
      <c r="G14">
        <v>160</v>
      </c>
      <c r="H14">
        <v>90</v>
      </c>
      <c r="I14">
        <v>1550</v>
      </c>
      <c r="J14">
        <v>1</v>
      </c>
      <c r="K14">
        <v>200</v>
      </c>
      <c r="L14">
        <v>120</v>
      </c>
      <c r="M14">
        <v>120</v>
      </c>
      <c r="N14">
        <v>2100</v>
      </c>
      <c r="O14">
        <v>1</v>
      </c>
      <c r="P14">
        <v>270</v>
      </c>
      <c r="Q14">
        <v>160</v>
      </c>
      <c r="R14">
        <v>170</v>
      </c>
      <c r="S14">
        <v>3000</v>
      </c>
      <c r="T14">
        <v>2</v>
      </c>
    </row>
    <row r="15" spans="1:29" x14ac:dyDescent="0.35">
      <c r="F15" s="14">
        <v>150</v>
      </c>
      <c r="G15">
        <v>140</v>
      </c>
      <c r="H15">
        <v>100</v>
      </c>
      <c r="I15">
        <v>1900</v>
      </c>
      <c r="J15">
        <v>1</v>
      </c>
      <c r="K15">
        <v>240</v>
      </c>
      <c r="L15">
        <v>190</v>
      </c>
      <c r="M15">
        <v>130</v>
      </c>
      <c r="N15">
        <v>1200</v>
      </c>
      <c r="O15">
        <v>1</v>
      </c>
      <c r="P15">
        <v>300</v>
      </c>
      <c r="Q15">
        <v>180</v>
      </c>
      <c r="R15">
        <v>200</v>
      </c>
      <c r="S15">
        <v>2200</v>
      </c>
      <c r="T15">
        <v>2</v>
      </c>
    </row>
    <row r="16" spans="1:29" x14ac:dyDescent="0.35">
      <c r="F16">
        <v>300</v>
      </c>
      <c r="G16">
        <v>150</v>
      </c>
      <c r="H16">
        <v>100</v>
      </c>
      <c r="I16">
        <v>1100</v>
      </c>
      <c r="J16">
        <v>1</v>
      </c>
      <c r="K16">
        <v>170</v>
      </c>
      <c r="L16">
        <v>190</v>
      </c>
      <c r="M16">
        <v>130</v>
      </c>
      <c r="N16">
        <v>1450</v>
      </c>
      <c r="O16">
        <v>1</v>
      </c>
    </row>
    <row r="17" spans="6:15" x14ac:dyDescent="0.35">
      <c r="F17" s="14">
        <v>100</v>
      </c>
      <c r="G17">
        <v>180</v>
      </c>
      <c r="H17">
        <v>100</v>
      </c>
      <c r="I17">
        <v>1800</v>
      </c>
      <c r="J17">
        <v>1</v>
      </c>
      <c r="K17">
        <v>130</v>
      </c>
      <c r="L17">
        <v>140</v>
      </c>
      <c r="M17">
        <v>130</v>
      </c>
      <c r="N17">
        <v>2200</v>
      </c>
      <c r="O17">
        <v>1</v>
      </c>
    </row>
    <row r="18" spans="6:15" x14ac:dyDescent="0.35">
      <c r="F18">
        <v>150</v>
      </c>
      <c r="G18">
        <v>180</v>
      </c>
      <c r="H18">
        <v>100</v>
      </c>
      <c r="I18">
        <v>1400</v>
      </c>
      <c r="J18">
        <v>1</v>
      </c>
      <c r="K18">
        <v>210</v>
      </c>
      <c r="L18">
        <v>100</v>
      </c>
      <c r="M18">
        <v>130</v>
      </c>
      <c r="N18">
        <v>2400</v>
      </c>
      <c r="O18">
        <v>1</v>
      </c>
    </row>
    <row r="19" spans="6:15" x14ac:dyDescent="0.35">
      <c r="F19">
        <v>120</v>
      </c>
      <c r="G19">
        <v>140</v>
      </c>
      <c r="H19">
        <v>110</v>
      </c>
      <c r="I19">
        <v>2000</v>
      </c>
      <c r="J19">
        <v>1</v>
      </c>
      <c r="K19">
        <v>400</v>
      </c>
      <c r="L19">
        <v>180</v>
      </c>
      <c r="M19">
        <v>140</v>
      </c>
      <c r="N19">
        <v>2500</v>
      </c>
      <c r="O19">
        <v>3</v>
      </c>
    </row>
    <row r="20" spans="6:15" x14ac:dyDescent="0.35">
      <c r="F20">
        <v>100</v>
      </c>
      <c r="G20">
        <v>200</v>
      </c>
      <c r="H20">
        <v>120</v>
      </c>
      <c r="I20">
        <v>1500</v>
      </c>
      <c r="J20">
        <v>1</v>
      </c>
      <c r="K20">
        <v>300</v>
      </c>
      <c r="L20">
        <v>160</v>
      </c>
      <c r="M20">
        <v>140</v>
      </c>
      <c r="N20">
        <v>2000</v>
      </c>
      <c r="O20">
        <v>2</v>
      </c>
    </row>
    <row r="21" spans="6:15" x14ac:dyDescent="0.35">
      <c r="K21">
        <v>150</v>
      </c>
      <c r="L21">
        <v>240</v>
      </c>
      <c r="M21">
        <v>150</v>
      </c>
      <c r="N21">
        <v>1100</v>
      </c>
      <c r="O21">
        <v>1</v>
      </c>
    </row>
    <row r="22" spans="6:15" x14ac:dyDescent="0.35">
      <c r="F22" s="14"/>
      <c r="G22" s="14"/>
      <c r="H22" s="14"/>
      <c r="I22" s="14"/>
      <c r="K22">
        <v>200</v>
      </c>
      <c r="L22">
        <v>140</v>
      </c>
      <c r="M22">
        <v>150</v>
      </c>
      <c r="N22">
        <v>1600</v>
      </c>
      <c r="O22">
        <v>1</v>
      </c>
    </row>
    <row r="23" spans="6:15" x14ac:dyDescent="0.35">
      <c r="K23">
        <v>250</v>
      </c>
      <c r="L23">
        <v>180</v>
      </c>
      <c r="M23">
        <v>150</v>
      </c>
      <c r="N23">
        <v>2000</v>
      </c>
      <c r="O23">
        <v>2</v>
      </c>
    </row>
    <row r="24" spans="6:15" x14ac:dyDescent="0.35">
      <c r="F24" s="14"/>
      <c r="G24" s="14"/>
      <c r="H24" s="14"/>
      <c r="I24" s="14"/>
      <c r="K24">
        <v>100</v>
      </c>
      <c r="L24">
        <v>240</v>
      </c>
      <c r="M24">
        <v>160</v>
      </c>
      <c r="N24">
        <v>1300</v>
      </c>
      <c r="O24">
        <v>1</v>
      </c>
    </row>
    <row r="25" spans="6:15" x14ac:dyDescent="0.35">
      <c r="K25">
        <v>200</v>
      </c>
      <c r="L25">
        <v>180</v>
      </c>
      <c r="M25">
        <v>170</v>
      </c>
      <c r="N25">
        <v>2500</v>
      </c>
      <c r="O25">
        <v>2</v>
      </c>
    </row>
    <row r="26" spans="6:15" x14ac:dyDescent="0.35">
      <c r="F26" s="14"/>
      <c r="G26" s="14"/>
      <c r="H26" s="14"/>
      <c r="I26" s="14"/>
      <c r="K26">
        <v>200</v>
      </c>
      <c r="L26">
        <v>140</v>
      </c>
      <c r="M26">
        <v>190</v>
      </c>
      <c r="N26">
        <v>1500</v>
      </c>
      <c r="O26">
        <v>1</v>
      </c>
    </row>
    <row r="27" spans="6:15" x14ac:dyDescent="0.35">
      <c r="K27">
        <v>200</v>
      </c>
      <c r="L27">
        <v>240</v>
      </c>
      <c r="M27">
        <v>200</v>
      </c>
      <c r="N27">
        <v>850</v>
      </c>
      <c r="O27">
        <v>1</v>
      </c>
    </row>
    <row r="30" spans="6:15" x14ac:dyDescent="0.35">
      <c r="F30" s="14"/>
      <c r="G30" s="14"/>
      <c r="H30" s="14"/>
      <c r="I30" s="14"/>
    </row>
    <row r="31" spans="6:15" x14ac:dyDescent="0.35">
      <c r="F31" s="14"/>
      <c r="G31" s="14"/>
      <c r="H31" s="14"/>
      <c r="I31" s="14"/>
    </row>
    <row r="32" spans="6:15" x14ac:dyDescent="0.35">
      <c r="F32" s="14"/>
      <c r="G32" s="14"/>
      <c r="H32" s="14"/>
      <c r="I32" s="14"/>
    </row>
    <row r="33" spans="6:9" x14ac:dyDescent="0.35">
      <c r="F33" s="14"/>
      <c r="G33" s="14"/>
      <c r="H33" s="14"/>
      <c r="I33" s="14"/>
    </row>
    <row r="34" spans="6:9" x14ac:dyDescent="0.35">
      <c r="F34" s="14"/>
      <c r="G34" s="14"/>
      <c r="H34" s="14"/>
      <c r="I34" s="14"/>
    </row>
    <row r="35" spans="6:9" x14ac:dyDescent="0.35">
      <c r="F35" s="14"/>
      <c r="G35" s="14"/>
      <c r="H35" s="14"/>
      <c r="I35" s="14"/>
    </row>
  </sheetData>
  <sortState xmlns:xlrd2="http://schemas.microsoft.com/office/spreadsheetml/2017/richdata2" ref="P3:T15">
    <sortCondition ref="R3"/>
  </sortState>
  <mergeCells count="5">
    <mergeCell ref="K1:O1"/>
    <mergeCell ref="P1:T1"/>
    <mergeCell ref="U1:Y1"/>
    <mergeCell ref="A1:E1"/>
    <mergeCell ref="F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"/>
  <sheetViews>
    <sheetView workbookViewId="0">
      <selection activeCell="L32" sqref="L32"/>
    </sheetView>
  </sheetViews>
  <sheetFormatPr defaultRowHeight="14.5" x14ac:dyDescent="0.35"/>
  <cols>
    <col min="4" max="4" width="10.81640625" customWidth="1"/>
    <col min="9" max="9" width="10.81640625" customWidth="1"/>
  </cols>
  <sheetData>
    <row r="1" spans="1:25" x14ac:dyDescent="0.35">
      <c r="A1" s="75" t="s">
        <v>26</v>
      </c>
      <c r="B1" s="75"/>
      <c r="C1" s="75"/>
      <c r="D1" s="75"/>
      <c r="E1" s="75"/>
      <c r="F1" s="75" t="s">
        <v>27</v>
      </c>
      <c r="G1" s="75"/>
      <c r="H1" s="75"/>
      <c r="I1" s="75"/>
      <c r="J1" s="75"/>
    </row>
    <row r="2" spans="1:25" x14ac:dyDescent="0.35">
      <c r="A2" s="51" t="s">
        <v>59</v>
      </c>
      <c r="B2" s="51" t="s">
        <v>60</v>
      </c>
      <c r="C2" s="51" t="s">
        <v>61</v>
      </c>
      <c r="D2" s="51" t="s">
        <v>62</v>
      </c>
      <c r="E2" s="51" t="s">
        <v>63</v>
      </c>
      <c r="F2" s="51" t="s">
        <v>59</v>
      </c>
      <c r="G2" s="51" t="s">
        <v>60</v>
      </c>
      <c r="H2" s="51" t="s">
        <v>61</v>
      </c>
      <c r="I2" s="51" t="s">
        <v>62</v>
      </c>
      <c r="J2" s="51" t="s">
        <v>63</v>
      </c>
    </row>
    <row r="3" spans="1:25" x14ac:dyDescent="0.35">
      <c r="A3">
        <v>150</v>
      </c>
      <c r="B3">
        <v>120</v>
      </c>
      <c r="C3">
        <v>120</v>
      </c>
      <c r="D3">
        <v>1500</v>
      </c>
      <c r="E3">
        <v>1</v>
      </c>
      <c r="F3">
        <v>150</v>
      </c>
      <c r="G3">
        <v>75</v>
      </c>
      <c r="H3">
        <v>110</v>
      </c>
      <c r="I3">
        <v>1800</v>
      </c>
      <c r="J3" s="50">
        <v>1</v>
      </c>
    </row>
    <row r="4" spans="1:25" x14ac:dyDescent="0.35">
      <c r="A4">
        <v>150</v>
      </c>
      <c r="B4">
        <v>120</v>
      </c>
      <c r="C4">
        <v>100</v>
      </c>
      <c r="D4">
        <v>1600</v>
      </c>
      <c r="E4">
        <v>1</v>
      </c>
      <c r="F4">
        <v>120</v>
      </c>
      <c r="G4">
        <v>75</v>
      </c>
      <c r="H4">
        <v>50</v>
      </c>
      <c r="I4">
        <v>3000</v>
      </c>
      <c r="J4" s="50">
        <v>1</v>
      </c>
    </row>
    <row r="5" spans="1:25" x14ac:dyDescent="0.35">
      <c r="A5">
        <v>150</v>
      </c>
      <c r="B5">
        <v>120</v>
      </c>
      <c r="C5">
        <v>80</v>
      </c>
      <c r="D5">
        <v>1800</v>
      </c>
      <c r="E5">
        <v>1</v>
      </c>
      <c r="F5">
        <v>80</v>
      </c>
      <c r="G5">
        <v>75</v>
      </c>
      <c r="H5">
        <v>70</v>
      </c>
      <c r="I5">
        <v>3600</v>
      </c>
      <c r="J5" s="50">
        <v>1</v>
      </c>
    </row>
    <row r="6" spans="1:25" x14ac:dyDescent="0.35">
      <c r="A6">
        <v>150</v>
      </c>
      <c r="B6">
        <v>120</v>
      </c>
      <c r="C6">
        <v>60</v>
      </c>
      <c r="D6">
        <v>2100</v>
      </c>
      <c r="E6">
        <v>1</v>
      </c>
      <c r="F6">
        <v>50</v>
      </c>
      <c r="G6">
        <v>75</v>
      </c>
      <c r="H6">
        <v>50</v>
      </c>
      <c r="I6">
        <v>5400</v>
      </c>
      <c r="J6" s="50">
        <v>1</v>
      </c>
      <c r="S6" s="14"/>
      <c r="Y6" s="14"/>
    </row>
    <row r="7" spans="1:25" x14ac:dyDescent="0.35">
      <c r="A7">
        <v>100</v>
      </c>
      <c r="B7">
        <v>120</v>
      </c>
      <c r="C7">
        <v>120</v>
      </c>
      <c r="D7">
        <v>1800</v>
      </c>
      <c r="E7">
        <v>1</v>
      </c>
      <c r="F7">
        <v>50</v>
      </c>
      <c r="G7">
        <v>75</v>
      </c>
      <c r="H7">
        <v>40</v>
      </c>
      <c r="I7">
        <v>5800</v>
      </c>
      <c r="J7" s="50">
        <v>1</v>
      </c>
    </row>
    <row r="8" spans="1:25" x14ac:dyDescent="0.35">
      <c r="A8">
        <v>100</v>
      </c>
      <c r="B8">
        <v>120</v>
      </c>
      <c r="C8">
        <v>100</v>
      </c>
      <c r="D8">
        <v>1950</v>
      </c>
      <c r="E8">
        <v>1</v>
      </c>
      <c r="F8">
        <v>50</v>
      </c>
      <c r="G8">
        <v>75</v>
      </c>
      <c r="H8">
        <v>80</v>
      </c>
      <c r="I8">
        <v>4100</v>
      </c>
      <c r="J8" s="50">
        <v>1</v>
      </c>
      <c r="S8" s="14"/>
      <c r="Y8" s="14"/>
    </row>
    <row r="9" spans="1:25" x14ac:dyDescent="0.35">
      <c r="A9">
        <v>100</v>
      </c>
      <c r="B9">
        <v>120</v>
      </c>
      <c r="C9">
        <v>80</v>
      </c>
      <c r="D9">
        <v>2250</v>
      </c>
      <c r="E9">
        <v>1</v>
      </c>
    </row>
    <row r="10" spans="1:25" x14ac:dyDescent="0.35">
      <c r="A10">
        <v>100</v>
      </c>
      <c r="B10">
        <v>120</v>
      </c>
      <c r="C10">
        <v>60</v>
      </c>
      <c r="D10">
        <v>2600</v>
      </c>
      <c r="E10">
        <v>1</v>
      </c>
      <c r="S10" s="14"/>
      <c r="Y10" s="14"/>
    </row>
    <row r="11" spans="1:25" x14ac:dyDescent="0.35">
      <c r="A11">
        <v>100</v>
      </c>
      <c r="B11">
        <v>100</v>
      </c>
      <c r="C11">
        <v>100</v>
      </c>
      <c r="D11">
        <v>2300</v>
      </c>
      <c r="E11">
        <v>1</v>
      </c>
    </row>
    <row r="12" spans="1:25" x14ac:dyDescent="0.35">
      <c r="A12">
        <v>100</v>
      </c>
      <c r="B12">
        <v>100</v>
      </c>
      <c r="C12">
        <v>80</v>
      </c>
      <c r="D12">
        <v>2600</v>
      </c>
      <c r="E12">
        <v>1</v>
      </c>
      <c r="S12" s="14"/>
      <c r="Y12" s="14"/>
    </row>
    <row r="13" spans="1:25" x14ac:dyDescent="0.35">
      <c r="A13">
        <v>100</v>
      </c>
      <c r="B13">
        <v>100</v>
      </c>
      <c r="C13">
        <v>60</v>
      </c>
      <c r="D13">
        <v>3000</v>
      </c>
      <c r="E13">
        <v>1</v>
      </c>
    </row>
    <row r="14" spans="1:25" x14ac:dyDescent="0.35">
      <c r="A14">
        <v>100</v>
      </c>
      <c r="B14">
        <v>100</v>
      </c>
      <c r="C14">
        <v>50</v>
      </c>
      <c r="D14">
        <v>3400</v>
      </c>
      <c r="E14">
        <v>1</v>
      </c>
      <c r="S14" s="14"/>
      <c r="Y14" s="14"/>
    </row>
    <row r="16" spans="1:25" x14ac:dyDescent="0.35">
      <c r="S16" s="14"/>
      <c r="Y16" s="14"/>
    </row>
    <row r="18" spans="19:19" x14ac:dyDescent="0.35">
      <c r="S18" s="14"/>
    </row>
    <row r="20" spans="19:19" x14ac:dyDescent="0.35">
      <c r="S20" s="14"/>
    </row>
    <row r="22" spans="19:19" x14ac:dyDescent="0.35">
      <c r="S22" s="14"/>
    </row>
    <row r="24" spans="19:19" x14ac:dyDescent="0.35">
      <c r="S24" s="14"/>
    </row>
    <row r="26" spans="19:19" x14ac:dyDescent="0.35">
      <c r="S26" s="14"/>
    </row>
    <row r="28" spans="19:19" x14ac:dyDescent="0.35">
      <c r="S28" s="14"/>
    </row>
  </sheetData>
  <mergeCells count="2">
    <mergeCell ref="F1:J1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4"/>
  <sheetViews>
    <sheetView topLeftCell="A121" workbookViewId="0">
      <selection activeCell="H31" sqref="H31"/>
    </sheetView>
  </sheetViews>
  <sheetFormatPr defaultRowHeight="14.5" x14ac:dyDescent="0.35"/>
  <cols>
    <col min="1" max="1" width="36.1796875" customWidth="1"/>
    <col min="2" max="2" width="24.453125" customWidth="1"/>
    <col min="3" max="3" width="25" customWidth="1"/>
  </cols>
  <sheetData>
    <row r="1" spans="1:20" ht="21" x14ac:dyDescent="0.5">
      <c r="A1" s="24" t="s">
        <v>16</v>
      </c>
      <c r="B1" s="39" t="s">
        <v>47</v>
      </c>
      <c r="C1" s="39"/>
      <c r="D1" s="14"/>
      <c r="E1" s="14"/>
      <c r="F1" s="14"/>
      <c r="G1" s="14"/>
      <c r="H1" s="14"/>
      <c r="I1" s="14"/>
      <c r="J1" s="14"/>
      <c r="K1" s="14"/>
      <c r="L1" s="25"/>
      <c r="M1" s="26"/>
      <c r="N1" s="25"/>
      <c r="O1" s="26"/>
      <c r="P1" s="25"/>
      <c r="Q1" s="26"/>
      <c r="R1" s="14"/>
      <c r="S1" s="14"/>
      <c r="T1" s="27"/>
    </row>
    <row r="2" spans="1:20" x14ac:dyDescent="0.35">
      <c r="A2" s="28" t="s">
        <v>39</v>
      </c>
      <c r="B2" s="27">
        <v>5</v>
      </c>
      <c r="C2" s="29" t="s">
        <v>48</v>
      </c>
      <c r="D2" s="71">
        <v>140</v>
      </c>
      <c r="E2" s="72"/>
      <c r="F2" s="72"/>
      <c r="G2" s="73"/>
      <c r="H2" s="77">
        <v>200</v>
      </c>
      <c r="I2" s="78"/>
      <c r="J2" s="78"/>
      <c r="K2" s="79"/>
      <c r="L2" s="71">
        <v>250</v>
      </c>
      <c r="M2" s="72"/>
      <c r="N2" s="72"/>
      <c r="O2" s="73"/>
      <c r="P2" s="71">
        <v>300</v>
      </c>
      <c r="Q2" s="72"/>
      <c r="R2" s="72"/>
      <c r="S2" s="72"/>
    </row>
    <row r="3" spans="1:20" x14ac:dyDescent="0.35">
      <c r="A3" s="28" t="s">
        <v>40</v>
      </c>
      <c r="B3" s="27">
        <v>2</v>
      </c>
      <c r="C3" s="28" t="s">
        <v>49</v>
      </c>
      <c r="D3" s="27">
        <v>100</v>
      </c>
      <c r="E3" s="27">
        <v>120</v>
      </c>
      <c r="F3" s="27">
        <v>140</v>
      </c>
      <c r="G3" s="27">
        <v>170</v>
      </c>
      <c r="H3" s="27">
        <v>100</v>
      </c>
      <c r="I3" s="27">
        <v>120</v>
      </c>
      <c r="J3" s="27">
        <v>140</v>
      </c>
      <c r="K3" s="27">
        <v>170</v>
      </c>
      <c r="L3" s="27">
        <v>100</v>
      </c>
      <c r="M3" s="27">
        <v>120</v>
      </c>
      <c r="N3" s="27">
        <v>140</v>
      </c>
      <c r="O3" s="27">
        <v>170</v>
      </c>
      <c r="P3" s="27">
        <v>100</v>
      </c>
      <c r="Q3" s="27">
        <v>120</v>
      </c>
      <c r="R3" s="27">
        <v>140</v>
      </c>
      <c r="S3" s="27">
        <v>170</v>
      </c>
    </row>
    <row r="4" spans="1:20" x14ac:dyDescent="0.35">
      <c r="A4" s="28" t="s">
        <v>42</v>
      </c>
      <c r="B4" s="27">
        <v>65</v>
      </c>
      <c r="C4" s="28" t="s">
        <v>50</v>
      </c>
      <c r="D4" s="30">
        <f t="shared" ref="D4:S4" si="0">EVEN((1000/D3)*2)</f>
        <v>20</v>
      </c>
      <c r="E4" s="30">
        <f t="shared" si="0"/>
        <v>18</v>
      </c>
      <c r="F4" s="30">
        <f t="shared" si="0"/>
        <v>16</v>
      </c>
      <c r="G4" s="30">
        <f t="shared" si="0"/>
        <v>12</v>
      </c>
      <c r="H4" s="30">
        <f t="shared" si="0"/>
        <v>20</v>
      </c>
      <c r="I4" s="30">
        <f t="shared" si="0"/>
        <v>18</v>
      </c>
      <c r="J4" s="30">
        <f t="shared" si="0"/>
        <v>16</v>
      </c>
      <c r="K4" s="30">
        <f t="shared" si="0"/>
        <v>12</v>
      </c>
      <c r="L4" s="30">
        <f t="shared" si="0"/>
        <v>20</v>
      </c>
      <c r="M4" s="30">
        <f t="shared" si="0"/>
        <v>18</v>
      </c>
      <c r="N4" s="30">
        <f t="shared" si="0"/>
        <v>16</v>
      </c>
      <c r="O4" s="30">
        <f t="shared" si="0"/>
        <v>12</v>
      </c>
      <c r="P4" s="30">
        <f t="shared" si="0"/>
        <v>20</v>
      </c>
      <c r="Q4" s="30">
        <f t="shared" si="0"/>
        <v>18</v>
      </c>
      <c r="R4" s="30">
        <f t="shared" si="0"/>
        <v>16</v>
      </c>
      <c r="S4" s="30">
        <f t="shared" si="0"/>
        <v>12</v>
      </c>
    </row>
    <row r="5" spans="1:20" x14ac:dyDescent="0.35">
      <c r="A5" s="28" t="s">
        <v>41</v>
      </c>
      <c r="B5" s="31">
        <v>200</v>
      </c>
      <c r="C5" s="28" t="s">
        <v>51</v>
      </c>
      <c r="D5" s="32">
        <f t="shared" ref="D5:S5" si="1">D4*$B$2</f>
        <v>100</v>
      </c>
      <c r="E5" s="32">
        <f t="shared" si="1"/>
        <v>90</v>
      </c>
      <c r="F5" s="32">
        <f t="shared" si="1"/>
        <v>80</v>
      </c>
      <c r="G5" s="32">
        <f t="shared" si="1"/>
        <v>60</v>
      </c>
      <c r="H5" s="32">
        <f t="shared" si="1"/>
        <v>100</v>
      </c>
      <c r="I5" s="32">
        <f t="shared" si="1"/>
        <v>90</v>
      </c>
      <c r="J5" s="32">
        <f t="shared" si="1"/>
        <v>80</v>
      </c>
      <c r="K5" s="32">
        <f t="shared" si="1"/>
        <v>60</v>
      </c>
      <c r="L5" s="32">
        <f t="shared" si="1"/>
        <v>100</v>
      </c>
      <c r="M5" s="32">
        <f t="shared" si="1"/>
        <v>90</v>
      </c>
      <c r="N5" s="32">
        <f t="shared" si="1"/>
        <v>80</v>
      </c>
      <c r="O5" s="32">
        <f t="shared" si="1"/>
        <v>60</v>
      </c>
      <c r="P5" s="32">
        <f t="shared" si="1"/>
        <v>100</v>
      </c>
      <c r="Q5" s="32">
        <f t="shared" si="1"/>
        <v>90</v>
      </c>
      <c r="R5" s="32">
        <f t="shared" si="1"/>
        <v>80</v>
      </c>
      <c r="S5" s="32">
        <f t="shared" si="1"/>
        <v>60</v>
      </c>
    </row>
    <row r="6" spans="1:20" x14ac:dyDescent="0.35">
      <c r="A6" s="28" t="s">
        <v>43</v>
      </c>
      <c r="B6" s="31" t="s">
        <v>15</v>
      </c>
      <c r="C6" s="28" t="s">
        <v>52</v>
      </c>
      <c r="D6" s="30">
        <f t="shared" ref="D6:S6" si="2">D4*$B$3</f>
        <v>40</v>
      </c>
      <c r="E6" s="30">
        <f t="shared" si="2"/>
        <v>36</v>
      </c>
      <c r="F6" s="30">
        <f t="shared" si="2"/>
        <v>32</v>
      </c>
      <c r="G6" s="30">
        <f t="shared" si="2"/>
        <v>24</v>
      </c>
      <c r="H6" s="30">
        <f t="shared" si="2"/>
        <v>40</v>
      </c>
      <c r="I6" s="30">
        <f t="shared" si="2"/>
        <v>36</v>
      </c>
      <c r="J6" s="30">
        <f t="shared" si="2"/>
        <v>32</v>
      </c>
      <c r="K6" s="30">
        <f t="shared" si="2"/>
        <v>24</v>
      </c>
      <c r="L6" s="30">
        <f t="shared" si="2"/>
        <v>40</v>
      </c>
      <c r="M6" s="30">
        <f t="shared" si="2"/>
        <v>36</v>
      </c>
      <c r="N6" s="30">
        <f t="shared" si="2"/>
        <v>32</v>
      </c>
      <c r="O6" s="30">
        <f t="shared" si="2"/>
        <v>24</v>
      </c>
      <c r="P6" s="30">
        <f t="shared" si="2"/>
        <v>40</v>
      </c>
      <c r="Q6" s="30">
        <f t="shared" si="2"/>
        <v>36</v>
      </c>
      <c r="R6" s="30">
        <f t="shared" si="2"/>
        <v>32</v>
      </c>
      <c r="S6" s="30">
        <f t="shared" si="2"/>
        <v>24</v>
      </c>
    </row>
    <row r="7" spans="1:20" x14ac:dyDescent="0.35">
      <c r="A7" s="28" t="s">
        <v>44</v>
      </c>
      <c r="B7" s="27">
        <v>5</v>
      </c>
      <c r="C7" s="28" t="s">
        <v>53</v>
      </c>
      <c r="D7" s="30">
        <f t="shared" ref="D7:S7" si="3">D4*$B$70</f>
        <v>130000</v>
      </c>
      <c r="E7" s="30">
        <f t="shared" si="3"/>
        <v>117000</v>
      </c>
      <c r="F7" s="30">
        <f t="shared" si="3"/>
        <v>104000</v>
      </c>
      <c r="G7" s="30">
        <f t="shared" si="3"/>
        <v>78000</v>
      </c>
      <c r="H7" s="30">
        <f t="shared" si="3"/>
        <v>130000</v>
      </c>
      <c r="I7" s="30">
        <f t="shared" si="3"/>
        <v>117000</v>
      </c>
      <c r="J7" s="30">
        <f t="shared" si="3"/>
        <v>104000</v>
      </c>
      <c r="K7" s="30">
        <f t="shared" si="3"/>
        <v>78000</v>
      </c>
      <c r="L7" s="30">
        <f t="shared" si="3"/>
        <v>130000</v>
      </c>
      <c r="M7" s="30">
        <f t="shared" si="3"/>
        <v>117000</v>
      </c>
      <c r="N7" s="30">
        <f t="shared" si="3"/>
        <v>104000</v>
      </c>
      <c r="O7" s="30">
        <f t="shared" si="3"/>
        <v>78000</v>
      </c>
      <c r="P7" s="30">
        <f t="shared" si="3"/>
        <v>130000</v>
      </c>
      <c r="Q7" s="30">
        <f t="shared" si="3"/>
        <v>117000</v>
      </c>
      <c r="R7" s="30">
        <f t="shared" si="3"/>
        <v>104000</v>
      </c>
      <c r="S7" s="30">
        <f t="shared" si="3"/>
        <v>78000</v>
      </c>
    </row>
    <row r="8" spans="1:20" ht="21" customHeight="1" x14ac:dyDescent="0.35">
      <c r="A8" s="28" t="s">
        <v>45</v>
      </c>
      <c r="B8" s="27">
        <v>6500</v>
      </c>
      <c r="C8" s="33" t="s">
        <v>54</v>
      </c>
      <c r="D8" s="34">
        <v>3000</v>
      </c>
      <c r="E8" s="34">
        <v>2500</v>
      </c>
      <c r="F8" s="34">
        <v>2300</v>
      </c>
      <c r="G8" s="34">
        <v>2000</v>
      </c>
      <c r="H8" s="34">
        <v>2950</v>
      </c>
      <c r="I8" s="34">
        <v>2450</v>
      </c>
      <c r="J8" s="34">
        <v>2200</v>
      </c>
      <c r="K8" s="34">
        <v>1900</v>
      </c>
      <c r="L8" s="34">
        <v>2950</v>
      </c>
      <c r="M8" s="34">
        <v>2400</v>
      </c>
      <c r="N8" s="34">
        <v>2100</v>
      </c>
      <c r="O8" s="34">
        <v>1800</v>
      </c>
      <c r="P8" s="34">
        <v>2700</v>
      </c>
      <c r="Q8" s="34">
        <v>2250</v>
      </c>
      <c r="R8" s="34">
        <v>2000</v>
      </c>
      <c r="S8" s="34">
        <v>1700</v>
      </c>
    </row>
    <row r="9" spans="1:20" ht="24.75" customHeight="1" x14ac:dyDescent="0.35">
      <c r="A9" s="28" t="s">
        <v>46</v>
      </c>
      <c r="B9" s="27">
        <v>200</v>
      </c>
      <c r="C9" s="35" t="s">
        <v>55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7"/>
      <c r="O9" s="27"/>
      <c r="P9" s="27"/>
      <c r="Q9" s="30"/>
      <c r="R9" s="30"/>
      <c r="S9" s="30"/>
    </row>
    <row r="10" spans="1:20" ht="9" customHeight="1" x14ac:dyDescent="0.35">
      <c r="A10" s="36"/>
      <c r="B10" s="27"/>
      <c r="C10" s="37"/>
      <c r="D10" s="25"/>
      <c r="E10" s="25"/>
      <c r="F10" s="25"/>
      <c r="G10" s="25"/>
      <c r="H10" s="25"/>
      <c r="I10" s="25"/>
      <c r="J10" s="25"/>
      <c r="K10" s="25"/>
      <c r="L10" s="27"/>
      <c r="M10" s="27"/>
      <c r="N10" s="27"/>
      <c r="O10" s="32"/>
      <c r="P10" s="32"/>
      <c r="Q10" s="32"/>
      <c r="R10" s="25"/>
      <c r="S10" s="25"/>
      <c r="T10" s="25"/>
    </row>
    <row r="11" spans="1:20" x14ac:dyDescent="0.35">
      <c r="A11" s="36"/>
      <c r="B11" s="27"/>
      <c r="C11" s="38"/>
      <c r="D11" s="25"/>
      <c r="E11" s="25"/>
      <c r="F11" s="25"/>
      <c r="G11" s="25"/>
      <c r="H11" s="25"/>
      <c r="I11" s="25"/>
      <c r="J11" s="25"/>
      <c r="K11" s="25"/>
      <c r="L11" s="27"/>
      <c r="M11" s="27"/>
      <c r="N11" s="27"/>
      <c r="O11" s="32"/>
      <c r="P11" s="32"/>
      <c r="Q11" s="32"/>
      <c r="R11" s="25"/>
      <c r="S11" s="25"/>
      <c r="T11" s="25"/>
    </row>
    <row r="12" spans="1:20" ht="21" x14ac:dyDescent="0.5">
      <c r="A12" s="24" t="s">
        <v>16</v>
      </c>
      <c r="B12" s="39" t="s">
        <v>56</v>
      </c>
      <c r="C12" s="39"/>
      <c r="D12" s="25"/>
      <c r="E12" s="25"/>
      <c r="F12" s="25"/>
      <c r="G12" s="25"/>
      <c r="H12" s="25"/>
      <c r="I12" s="25"/>
      <c r="J12" s="25"/>
      <c r="K12" s="25"/>
      <c r="L12" s="27"/>
      <c r="M12" s="27"/>
      <c r="N12" s="27"/>
      <c r="O12" s="30"/>
      <c r="P12" s="30"/>
      <c r="Q12" s="30"/>
      <c r="R12" s="25"/>
      <c r="S12" s="25"/>
      <c r="T12" s="25"/>
    </row>
    <row r="13" spans="1:20" x14ac:dyDescent="0.35">
      <c r="A13" s="28" t="s">
        <v>39</v>
      </c>
      <c r="B13" s="27">
        <v>5</v>
      </c>
      <c r="C13" s="29" t="s">
        <v>48</v>
      </c>
      <c r="D13" s="71">
        <v>140</v>
      </c>
      <c r="E13" s="72"/>
      <c r="F13" s="72"/>
      <c r="G13" s="73"/>
      <c r="H13" s="77">
        <v>200</v>
      </c>
      <c r="I13" s="78"/>
      <c r="J13" s="78"/>
      <c r="K13" s="79"/>
      <c r="L13" s="71">
        <v>250</v>
      </c>
      <c r="M13" s="72"/>
      <c r="N13" s="72"/>
      <c r="O13" s="73"/>
      <c r="P13" s="71">
        <v>300</v>
      </c>
      <c r="Q13" s="72"/>
      <c r="R13" s="72"/>
      <c r="S13" s="72"/>
    </row>
    <row r="14" spans="1:20" x14ac:dyDescent="0.35">
      <c r="A14" s="28" t="s">
        <v>40</v>
      </c>
      <c r="B14" s="27">
        <v>2</v>
      </c>
      <c r="C14" s="28" t="s">
        <v>49</v>
      </c>
      <c r="D14" s="27">
        <v>100</v>
      </c>
      <c r="E14" s="27">
        <v>120</v>
      </c>
      <c r="F14" s="27">
        <v>140</v>
      </c>
      <c r="G14" s="27">
        <v>170</v>
      </c>
      <c r="H14" s="27">
        <v>100</v>
      </c>
      <c r="I14" s="27">
        <v>120</v>
      </c>
      <c r="J14" s="27">
        <v>140</v>
      </c>
      <c r="K14" s="27">
        <v>170</v>
      </c>
      <c r="L14" s="27">
        <v>100</v>
      </c>
      <c r="M14" s="27">
        <v>120</v>
      </c>
      <c r="N14" s="27">
        <v>140</v>
      </c>
      <c r="O14" s="27">
        <v>170</v>
      </c>
      <c r="P14" s="27">
        <v>100</v>
      </c>
      <c r="Q14" s="27">
        <v>120</v>
      </c>
      <c r="R14" s="27">
        <v>140</v>
      </c>
      <c r="S14" s="27">
        <v>170</v>
      </c>
    </row>
    <row r="15" spans="1:20" x14ac:dyDescent="0.35">
      <c r="A15" s="28" t="s">
        <v>42</v>
      </c>
      <c r="B15" s="27">
        <v>65</v>
      </c>
      <c r="C15" s="28" t="s">
        <v>50</v>
      </c>
      <c r="D15" s="30">
        <f t="shared" ref="D15:S15" si="4">EVEN((1000/D14)*2)</f>
        <v>20</v>
      </c>
      <c r="E15" s="30">
        <f t="shared" si="4"/>
        <v>18</v>
      </c>
      <c r="F15" s="30">
        <f t="shared" si="4"/>
        <v>16</v>
      </c>
      <c r="G15" s="30">
        <f t="shared" si="4"/>
        <v>12</v>
      </c>
      <c r="H15" s="30">
        <f t="shared" si="4"/>
        <v>20</v>
      </c>
      <c r="I15" s="30">
        <f t="shared" si="4"/>
        <v>18</v>
      </c>
      <c r="J15" s="30">
        <f t="shared" si="4"/>
        <v>16</v>
      </c>
      <c r="K15" s="30">
        <f t="shared" si="4"/>
        <v>12</v>
      </c>
      <c r="L15" s="30">
        <f t="shared" si="4"/>
        <v>20</v>
      </c>
      <c r="M15" s="30">
        <f t="shared" si="4"/>
        <v>18</v>
      </c>
      <c r="N15" s="30">
        <f t="shared" si="4"/>
        <v>16</v>
      </c>
      <c r="O15" s="30">
        <f t="shared" si="4"/>
        <v>12</v>
      </c>
      <c r="P15" s="30">
        <f t="shared" si="4"/>
        <v>20</v>
      </c>
      <c r="Q15" s="30">
        <f t="shared" si="4"/>
        <v>18</v>
      </c>
      <c r="R15" s="30">
        <f t="shared" si="4"/>
        <v>16</v>
      </c>
      <c r="S15" s="30">
        <f t="shared" si="4"/>
        <v>12</v>
      </c>
    </row>
    <row r="16" spans="1:20" x14ac:dyDescent="0.35">
      <c r="A16" s="28" t="s">
        <v>41</v>
      </c>
      <c r="B16" s="31">
        <v>200</v>
      </c>
      <c r="C16" s="28" t="s">
        <v>51</v>
      </c>
      <c r="D16" s="32">
        <f t="shared" ref="D16:S16" si="5">D15*$B$13</f>
        <v>100</v>
      </c>
      <c r="E16" s="32">
        <f t="shared" si="5"/>
        <v>90</v>
      </c>
      <c r="F16" s="32">
        <f t="shared" si="5"/>
        <v>80</v>
      </c>
      <c r="G16" s="32">
        <f t="shared" si="5"/>
        <v>60</v>
      </c>
      <c r="H16" s="32">
        <f t="shared" si="5"/>
        <v>100</v>
      </c>
      <c r="I16" s="32">
        <f t="shared" si="5"/>
        <v>90</v>
      </c>
      <c r="J16" s="32">
        <f t="shared" si="5"/>
        <v>80</v>
      </c>
      <c r="K16" s="32">
        <f t="shared" si="5"/>
        <v>60</v>
      </c>
      <c r="L16" s="32">
        <f t="shared" si="5"/>
        <v>100</v>
      </c>
      <c r="M16" s="32">
        <f t="shared" si="5"/>
        <v>90</v>
      </c>
      <c r="N16" s="32">
        <f t="shared" si="5"/>
        <v>80</v>
      </c>
      <c r="O16" s="32">
        <f t="shared" si="5"/>
        <v>60</v>
      </c>
      <c r="P16" s="32">
        <f t="shared" si="5"/>
        <v>100</v>
      </c>
      <c r="Q16" s="32">
        <f t="shared" si="5"/>
        <v>90</v>
      </c>
      <c r="R16" s="32">
        <f t="shared" si="5"/>
        <v>80</v>
      </c>
      <c r="S16" s="32">
        <f t="shared" si="5"/>
        <v>60</v>
      </c>
    </row>
    <row r="17" spans="1:20" x14ac:dyDescent="0.35">
      <c r="A17" s="28" t="s">
        <v>43</v>
      </c>
      <c r="B17" s="31" t="s">
        <v>15</v>
      </c>
      <c r="C17" s="28" t="s">
        <v>52</v>
      </c>
      <c r="D17" s="30">
        <f t="shared" ref="D17:S17" si="6">D15*$B$14</f>
        <v>40</v>
      </c>
      <c r="E17" s="30">
        <f t="shared" si="6"/>
        <v>36</v>
      </c>
      <c r="F17" s="30">
        <f t="shared" si="6"/>
        <v>32</v>
      </c>
      <c r="G17" s="30">
        <f t="shared" si="6"/>
        <v>24</v>
      </c>
      <c r="H17" s="30">
        <f t="shared" si="6"/>
        <v>40</v>
      </c>
      <c r="I17" s="30">
        <f t="shared" si="6"/>
        <v>36</v>
      </c>
      <c r="J17" s="30">
        <f t="shared" si="6"/>
        <v>32</v>
      </c>
      <c r="K17" s="30">
        <f t="shared" si="6"/>
        <v>24</v>
      </c>
      <c r="L17" s="30">
        <f t="shared" si="6"/>
        <v>40</v>
      </c>
      <c r="M17" s="30">
        <f t="shared" si="6"/>
        <v>36</v>
      </c>
      <c r="N17" s="30">
        <f t="shared" si="6"/>
        <v>32</v>
      </c>
      <c r="O17" s="30">
        <f t="shared" si="6"/>
        <v>24</v>
      </c>
      <c r="P17" s="30">
        <f t="shared" si="6"/>
        <v>40</v>
      </c>
      <c r="Q17" s="30">
        <f t="shared" si="6"/>
        <v>36</v>
      </c>
      <c r="R17" s="30">
        <f t="shared" si="6"/>
        <v>32</v>
      </c>
      <c r="S17" s="30">
        <f t="shared" si="6"/>
        <v>24</v>
      </c>
    </row>
    <row r="18" spans="1:20" x14ac:dyDescent="0.35">
      <c r="A18" s="28" t="s">
        <v>44</v>
      </c>
      <c r="B18" s="27">
        <v>5</v>
      </c>
      <c r="C18" s="28" t="s">
        <v>53</v>
      </c>
      <c r="D18" s="30">
        <f t="shared" ref="D18:S18" si="7">D15*$B$70</f>
        <v>130000</v>
      </c>
      <c r="E18" s="30">
        <f t="shared" si="7"/>
        <v>117000</v>
      </c>
      <c r="F18" s="30">
        <f t="shared" si="7"/>
        <v>104000</v>
      </c>
      <c r="G18" s="30">
        <f t="shared" si="7"/>
        <v>78000</v>
      </c>
      <c r="H18" s="30">
        <f t="shared" si="7"/>
        <v>130000</v>
      </c>
      <c r="I18" s="30">
        <f t="shared" si="7"/>
        <v>117000</v>
      </c>
      <c r="J18" s="30">
        <f t="shared" si="7"/>
        <v>104000</v>
      </c>
      <c r="K18" s="30">
        <f t="shared" si="7"/>
        <v>78000</v>
      </c>
      <c r="L18" s="30">
        <f t="shared" si="7"/>
        <v>130000</v>
      </c>
      <c r="M18" s="30">
        <f t="shared" si="7"/>
        <v>117000</v>
      </c>
      <c r="N18" s="30">
        <f t="shared" si="7"/>
        <v>104000</v>
      </c>
      <c r="O18" s="30">
        <f t="shared" si="7"/>
        <v>78000</v>
      </c>
      <c r="P18" s="30">
        <f t="shared" si="7"/>
        <v>130000</v>
      </c>
      <c r="Q18" s="30">
        <f t="shared" si="7"/>
        <v>117000</v>
      </c>
      <c r="R18" s="30">
        <f t="shared" si="7"/>
        <v>104000</v>
      </c>
      <c r="S18" s="30">
        <f t="shared" si="7"/>
        <v>78000</v>
      </c>
    </row>
    <row r="19" spans="1:20" x14ac:dyDescent="0.35">
      <c r="A19" s="28" t="s">
        <v>45</v>
      </c>
      <c r="B19" s="27">
        <v>6500</v>
      </c>
      <c r="C19" s="33" t="s">
        <v>54</v>
      </c>
      <c r="D19" s="34">
        <v>2600</v>
      </c>
      <c r="E19" s="34">
        <v>2200</v>
      </c>
      <c r="F19" s="34">
        <v>2010</v>
      </c>
      <c r="G19" s="34">
        <v>1700</v>
      </c>
      <c r="H19" s="34">
        <v>2570</v>
      </c>
      <c r="I19" s="34">
        <v>2150</v>
      </c>
      <c r="J19" s="34">
        <v>1930</v>
      </c>
      <c r="K19" s="34">
        <v>1650</v>
      </c>
      <c r="L19" s="34">
        <v>2570</v>
      </c>
      <c r="M19" s="34">
        <v>2100</v>
      </c>
      <c r="N19" s="34">
        <v>1850</v>
      </c>
      <c r="O19" s="34">
        <v>1500</v>
      </c>
      <c r="P19" s="34">
        <v>2400</v>
      </c>
      <c r="Q19" s="34">
        <v>1970</v>
      </c>
      <c r="R19" s="34">
        <v>1770</v>
      </c>
      <c r="S19" s="34">
        <v>1400</v>
      </c>
    </row>
    <row r="20" spans="1:20" ht="26.5" x14ac:dyDescent="0.35">
      <c r="A20" s="28" t="s">
        <v>46</v>
      </c>
      <c r="B20" s="27">
        <v>200</v>
      </c>
      <c r="C20" s="35" t="s">
        <v>55</v>
      </c>
      <c r="D20" s="25"/>
      <c r="E20" s="25"/>
      <c r="F20" s="25"/>
      <c r="G20" s="25"/>
      <c r="H20" s="25"/>
      <c r="I20" s="25"/>
      <c r="J20" s="25"/>
      <c r="K20" s="25"/>
      <c r="L20" s="27"/>
      <c r="M20" s="27"/>
      <c r="N20" s="27"/>
      <c r="O20" s="30"/>
      <c r="P20" s="30"/>
      <c r="Q20" s="30"/>
      <c r="R20" s="25"/>
      <c r="S20" s="25"/>
      <c r="T20" s="25"/>
    </row>
    <row r="21" spans="1:20" x14ac:dyDescent="0.35">
      <c r="A21" s="36"/>
      <c r="B21" s="27"/>
      <c r="C21" s="3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0"/>
      <c r="P21" s="30"/>
      <c r="Q21" s="27"/>
      <c r="R21" s="27"/>
      <c r="S21" s="27"/>
      <c r="T21" s="27"/>
    </row>
    <row r="22" spans="1:20" x14ac:dyDescent="0.35">
      <c r="A22" s="15"/>
      <c r="B22" s="27"/>
      <c r="C22" s="15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40"/>
      <c r="P22" s="40"/>
      <c r="Q22" s="27"/>
      <c r="R22" s="27"/>
      <c r="S22" s="27"/>
      <c r="T22" s="27"/>
    </row>
    <row r="23" spans="1:20" ht="21" x14ac:dyDescent="0.5">
      <c r="A23" s="24" t="s">
        <v>16</v>
      </c>
      <c r="B23" s="39" t="s">
        <v>67</v>
      </c>
      <c r="C23" s="39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30"/>
      <c r="P23" s="30"/>
      <c r="Q23" s="27"/>
      <c r="R23" s="27"/>
      <c r="S23" s="27"/>
      <c r="T23" s="27"/>
    </row>
    <row r="24" spans="1:20" x14ac:dyDescent="0.35">
      <c r="A24" s="28" t="s">
        <v>39</v>
      </c>
      <c r="B24" s="27">
        <v>5</v>
      </c>
      <c r="C24" s="29" t="s">
        <v>48</v>
      </c>
      <c r="D24" s="71">
        <v>140</v>
      </c>
      <c r="E24" s="72"/>
      <c r="F24" s="72"/>
      <c r="G24" s="73"/>
      <c r="H24" s="77">
        <v>200</v>
      </c>
      <c r="I24" s="78"/>
      <c r="J24" s="78"/>
      <c r="K24" s="79"/>
      <c r="L24" s="71">
        <v>250</v>
      </c>
      <c r="M24" s="72"/>
      <c r="N24" s="72"/>
      <c r="O24" s="73"/>
      <c r="P24" s="71">
        <v>300</v>
      </c>
      <c r="Q24" s="72"/>
      <c r="R24" s="72"/>
      <c r="S24" s="72"/>
    </row>
    <row r="25" spans="1:20" x14ac:dyDescent="0.35">
      <c r="A25" s="28" t="s">
        <v>40</v>
      </c>
      <c r="B25" s="27">
        <v>2</v>
      </c>
      <c r="C25" s="28" t="s">
        <v>49</v>
      </c>
      <c r="D25" s="27">
        <v>100</v>
      </c>
      <c r="E25" s="27">
        <v>120</v>
      </c>
      <c r="F25" s="27">
        <v>140</v>
      </c>
      <c r="G25" s="27">
        <v>170</v>
      </c>
      <c r="H25" s="27">
        <v>100</v>
      </c>
      <c r="I25" s="27">
        <v>120</v>
      </c>
      <c r="J25" s="27">
        <v>140</v>
      </c>
      <c r="K25" s="27">
        <v>170</v>
      </c>
      <c r="L25" s="27">
        <v>100</v>
      </c>
      <c r="M25" s="27">
        <v>120</v>
      </c>
      <c r="N25" s="27">
        <v>140</v>
      </c>
      <c r="O25" s="27">
        <v>170</v>
      </c>
      <c r="P25" s="27">
        <v>100</v>
      </c>
      <c r="Q25" s="27">
        <v>120</v>
      </c>
      <c r="R25" s="27">
        <v>140</v>
      </c>
      <c r="S25" s="27">
        <v>170</v>
      </c>
    </row>
    <row r="26" spans="1:20" x14ac:dyDescent="0.35">
      <c r="A26" s="28" t="s">
        <v>42</v>
      </c>
      <c r="B26" s="27">
        <v>65</v>
      </c>
      <c r="C26" s="28" t="s">
        <v>50</v>
      </c>
      <c r="D26" s="30">
        <f t="shared" ref="D26:S26" si="8">EVEN((1000/D25)*2)</f>
        <v>20</v>
      </c>
      <c r="E26" s="30">
        <f t="shared" si="8"/>
        <v>18</v>
      </c>
      <c r="F26" s="30">
        <f t="shared" si="8"/>
        <v>16</v>
      </c>
      <c r="G26" s="30">
        <f t="shared" si="8"/>
        <v>12</v>
      </c>
      <c r="H26" s="30">
        <f t="shared" si="8"/>
        <v>20</v>
      </c>
      <c r="I26" s="30">
        <f t="shared" si="8"/>
        <v>18</v>
      </c>
      <c r="J26" s="30">
        <f t="shared" si="8"/>
        <v>16</v>
      </c>
      <c r="K26" s="30">
        <f t="shared" si="8"/>
        <v>12</v>
      </c>
      <c r="L26" s="30">
        <f t="shared" si="8"/>
        <v>20</v>
      </c>
      <c r="M26" s="30">
        <f t="shared" si="8"/>
        <v>18</v>
      </c>
      <c r="N26" s="30">
        <f t="shared" si="8"/>
        <v>16</v>
      </c>
      <c r="O26" s="30">
        <f t="shared" si="8"/>
        <v>12</v>
      </c>
      <c r="P26" s="30">
        <f t="shared" si="8"/>
        <v>20</v>
      </c>
      <c r="Q26" s="30">
        <f t="shared" si="8"/>
        <v>18</v>
      </c>
      <c r="R26" s="30">
        <f t="shared" si="8"/>
        <v>16</v>
      </c>
      <c r="S26" s="30">
        <f t="shared" si="8"/>
        <v>12</v>
      </c>
    </row>
    <row r="27" spans="1:20" x14ac:dyDescent="0.35">
      <c r="A27" s="28" t="s">
        <v>41</v>
      </c>
      <c r="B27" s="31">
        <v>260</v>
      </c>
      <c r="C27" s="28" t="s">
        <v>51</v>
      </c>
      <c r="D27" s="32">
        <f t="shared" ref="D27:S27" si="9">D26*$B$24</f>
        <v>100</v>
      </c>
      <c r="E27" s="32">
        <f t="shared" si="9"/>
        <v>90</v>
      </c>
      <c r="F27" s="32">
        <f t="shared" si="9"/>
        <v>80</v>
      </c>
      <c r="G27" s="32">
        <f t="shared" si="9"/>
        <v>60</v>
      </c>
      <c r="H27" s="32">
        <f t="shared" si="9"/>
        <v>100</v>
      </c>
      <c r="I27" s="32">
        <f t="shared" si="9"/>
        <v>90</v>
      </c>
      <c r="J27" s="32">
        <f t="shared" si="9"/>
        <v>80</v>
      </c>
      <c r="K27" s="32">
        <f t="shared" si="9"/>
        <v>60</v>
      </c>
      <c r="L27" s="32">
        <f t="shared" si="9"/>
        <v>100</v>
      </c>
      <c r="M27" s="32">
        <f t="shared" si="9"/>
        <v>90</v>
      </c>
      <c r="N27" s="32">
        <f t="shared" si="9"/>
        <v>80</v>
      </c>
      <c r="O27" s="32">
        <f t="shared" si="9"/>
        <v>60</v>
      </c>
      <c r="P27" s="32">
        <f t="shared" si="9"/>
        <v>100</v>
      </c>
      <c r="Q27" s="32">
        <f t="shared" si="9"/>
        <v>90</v>
      </c>
      <c r="R27" s="32">
        <f t="shared" si="9"/>
        <v>80</v>
      </c>
      <c r="S27" s="32">
        <f t="shared" si="9"/>
        <v>60</v>
      </c>
    </row>
    <row r="28" spans="1:20" x14ac:dyDescent="0.35">
      <c r="A28" s="28" t="s">
        <v>43</v>
      </c>
      <c r="B28" s="31" t="s">
        <v>15</v>
      </c>
      <c r="C28" s="28" t="s">
        <v>52</v>
      </c>
      <c r="D28" s="30">
        <f t="shared" ref="D28:S28" si="10">D26*$B$25</f>
        <v>40</v>
      </c>
      <c r="E28" s="30">
        <f t="shared" si="10"/>
        <v>36</v>
      </c>
      <c r="F28" s="30">
        <f t="shared" si="10"/>
        <v>32</v>
      </c>
      <c r="G28" s="30">
        <f t="shared" si="10"/>
        <v>24</v>
      </c>
      <c r="H28" s="30">
        <f t="shared" si="10"/>
        <v>40</v>
      </c>
      <c r="I28" s="30">
        <f t="shared" si="10"/>
        <v>36</v>
      </c>
      <c r="J28" s="30">
        <f t="shared" si="10"/>
        <v>32</v>
      </c>
      <c r="K28" s="30">
        <f t="shared" si="10"/>
        <v>24</v>
      </c>
      <c r="L28" s="30">
        <f t="shared" si="10"/>
        <v>40</v>
      </c>
      <c r="M28" s="30">
        <f t="shared" si="10"/>
        <v>36</v>
      </c>
      <c r="N28" s="30">
        <f t="shared" si="10"/>
        <v>32</v>
      </c>
      <c r="O28" s="30">
        <f t="shared" si="10"/>
        <v>24</v>
      </c>
      <c r="P28" s="30">
        <f t="shared" si="10"/>
        <v>40</v>
      </c>
      <c r="Q28" s="30">
        <f t="shared" si="10"/>
        <v>36</v>
      </c>
      <c r="R28" s="30">
        <f t="shared" si="10"/>
        <v>32</v>
      </c>
      <c r="S28" s="30">
        <f t="shared" si="10"/>
        <v>24</v>
      </c>
    </row>
    <row r="29" spans="1:20" x14ac:dyDescent="0.35">
      <c r="A29" s="28" t="s">
        <v>44</v>
      </c>
      <c r="B29" s="27">
        <v>5</v>
      </c>
      <c r="C29" s="28" t="s">
        <v>53</v>
      </c>
      <c r="D29" s="30">
        <f t="shared" ref="D29:S29" si="11">D26*$B$70</f>
        <v>130000</v>
      </c>
      <c r="E29" s="30">
        <f t="shared" si="11"/>
        <v>117000</v>
      </c>
      <c r="F29" s="30">
        <f t="shared" si="11"/>
        <v>104000</v>
      </c>
      <c r="G29" s="30">
        <f t="shared" si="11"/>
        <v>78000</v>
      </c>
      <c r="H29" s="30">
        <f t="shared" si="11"/>
        <v>130000</v>
      </c>
      <c r="I29" s="30">
        <f t="shared" si="11"/>
        <v>117000</v>
      </c>
      <c r="J29" s="30">
        <f t="shared" si="11"/>
        <v>104000</v>
      </c>
      <c r="K29" s="30">
        <f t="shared" si="11"/>
        <v>78000</v>
      </c>
      <c r="L29" s="30">
        <f t="shared" si="11"/>
        <v>130000</v>
      </c>
      <c r="M29" s="30">
        <f t="shared" si="11"/>
        <v>117000</v>
      </c>
      <c r="N29" s="30">
        <f t="shared" si="11"/>
        <v>104000</v>
      </c>
      <c r="O29" s="30">
        <f t="shared" si="11"/>
        <v>78000</v>
      </c>
      <c r="P29" s="30">
        <f t="shared" si="11"/>
        <v>130000</v>
      </c>
      <c r="Q29" s="30">
        <f t="shared" si="11"/>
        <v>117000</v>
      </c>
      <c r="R29" s="30">
        <f t="shared" si="11"/>
        <v>104000</v>
      </c>
      <c r="S29" s="30">
        <f t="shared" si="11"/>
        <v>78000</v>
      </c>
    </row>
    <row r="30" spans="1:20" x14ac:dyDescent="0.35">
      <c r="A30" s="28" t="s">
        <v>45</v>
      </c>
      <c r="B30" s="27">
        <v>6500</v>
      </c>
      <c r="C30" s="33" t="s">
        <v>54</v>
      </c>
      <c r="D30" s="34">
        <v>2200</v>
      </c>
      <c r="E30" s="34">
        <v>1900</v>
      </c>
      <c r="F30" s="34">
        <v>1720</v>
      </c>
      <c r="G30" s="34">
        <v>1400</v>
      </c>
      <c r="H30" s="34">
        <v>2200</v>
      </c>
      <c r="I30" s="34">
        <v>1820</v>
      </c>
      <c r="J30" s="34">
        <v>1670</v>
      </c>
      <c r="K30" s="34">
        <v>1350</v>
      </c>
      <c r="L30" s="34">
        <v>2100</v>
      </c>
      <c r="M30" s="34">
        <v>1750</v>
      </c>
      <c r="N30" s="34">
        <v>1600</v>
      </c>
      <c r="O30" s="34">
        <v>1300</v>
      </c>
      <c r="P30" s="34">
        <v>2050</v>
      </c>
      <c r="Q30" s="34">
        <v>1700</v>
      </c>
      <c r="R30" s="34">
        <v>1500</v>
      </c>
      <c r="S30" s="34">
        <v>1250</v>
      </c>
    </row>
    <row r="31" spans="1:20" ht="26.5" x14ac:dyDescent="0.35">
      <c r="A31" s="28" t="s">
        <v>46</v>
      </c>
      <c r="B31" s="27">
        <v>200</v>
      </c>
      <c r="C31" s="35" t="s">
        <v>55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35">
      <c r="A32" s="36"/>
      <c r="B32" s="27"/>
      <c r="C32" s="37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21" x14ac:dyDescent="0.5">
      <c r="A33" s="24" t="s">
        <v>16</v>
      </c>
      <c r="B33" s="39" t="s">
        <v>66</v>
      </c>
      <c r="C33" s="39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35">
      <c r="A34" s="28" t="s">
        <v>39</v>
      </c>
      <c r="B34" s="27">
        <v>5</v>
      </c>
      <c r="C34" s="29" t="s">
        <v>48</v>
      </c>
      <c r="D34" s="71">
        <v>140</v>
      </c>
      <c r="E34" s="72"/>
      <c r="F34" s="73"/>
      <c r="G34" s="77">
        <v>200</v>
      </c>
      <c r="H34" s="78"/>
      <c r="I34" s="78"/>
      <c r="J34" s="79"/>
      <c r="K34" s="71">
        <v>250</v>
      </c>
      <c r="L34" s="72"/>
      <c r="M34" s="72"/>
      <c r="N34" s="73"/>
      <c r="O34" s="71">
        <v>300</v>
      </c>
      <c r="P34" s="72"/>
      <c r="Q34" s="72"/>
      <c r="R34" s="72"/>
      <c r="S34" s="15"/>
    </row>
    <row r="35" spans="1:20" x14ac:dyDescent="0.35">
      <c r="A35" s="28" t="s">
        <v>40</v>
      </c>
      <c r="B35" s="27">
        <v>2</v>
      </c>
      <c r="C35" s="28" t="s">
        <v>49</v>
      </c>
      <c r="D35" s="27">
        <v>100</v>
      </c>
      <c r="E35" s="27">
        <v>120</v>
      </c>
      <c r="F35" s="27">
        <v>140</v>
      </c>
      <c r="G35" s="27">
        <v>100</v>
      </c>
      <c r="H35" s="27">
        <v>120</v>
      </c>
      <c r="I35" s="27">
        <v>140</v>
      </c>
      <c r="J35" s="27">
        <v>170</v>
      </c>
      <c r="K35" s="27">
        <v>100</v>
      </c>
      <c r="L35" s="27">
        <v>120</v>
      </c>
      <c r="M35" s="27">
        <v>140</v>
      </c>
      <c r="N35" s="27">
        <v>170</v>
      </c>
      <c r="O35" s="27">
        <v>100</v>
      </c>
      <c r="P35" s="27">
        <v>120</v>
      </c>
      <c r="Q35" s="27">
        <v>140</v>
      </c>
      <c r="R35" s="27">
        <v>170</v>
      </c>
      <c r="S35" s="15"/>
    </row>
    <row r="36" spans="1:20" x14ac:dyDescent="0.35">
      <c r="A36" s="28" t="s">
        <v>42</v>
      </c>
      <c r="B36" s="27">
        <v>65</v>
      </c>
      <c r="C36" s="28" t="s">
        <v>50</v>
      </c>
      <c r="D36" s="30">
        <f t="shared" ref="D36:R36" si="12">EVEN((1000/D35)*2)</f>
        <v>20</v>
      </c>
      <c r="E36" s="30">
        <f t="shared" si="12"/>
        <v>18</v>
      </c>
      <c r="F36" s="30">
        <f t="shared" si="12"/>
        <v>16</v>
      </c>
      <c r="G36" s="30">
        <f t="shared" si="12"/>
        <v>20</v>
      </c>
      <c r="H36" s="30">
        <f t="shared" si="12"/>
        <v>18</v>
      </c>
      <c r="I36" s="30">
        <f t="shared" si="12"/>
        <v>16</v>
      </c>
      <c r="J36" s="30">
        <f t="shared" si="12"/>
        <v>12</v>
      </c>
      <c r="K36" s="30">
        <f t="shared" si="12"/>
        <v>20</v>
      </c>
      <c r="L36" s="30">
        <f t="shared" si="12"/>
        <v>18</v>
      </c>
      <c r="M36" s="30">
        <f t="shared" si="12"/>
        <v>16</v>
      </c>
      <c r="N36" s="30">
        <f t="shared" si="12"/>
        <v>12</v>
      </c>
      <c r="O36" s="30">
        <f t="shared" si="12"/>
        <v>20</v>
      </c>
      <c r="P36" s="30">
        <f t="shared" si="12"/>
        <v>18</v>
      </c>
      <c r="Q36" s="30">
        <f t="shared" si="12"/>
        <v>16</v>
      </c>
      <c r="R36" s="30">
        <f t="shared" si="12"/>
        <v>12</v>
      </c>
      <c r="S36" s="15"/>
    </row>
    <row r="37" spans="1:20" x14ac:dyDescent="0.35">
      <c r="A37" s="28" t="s">
        <v>41</v>
      </c>
      <c r="B37" s="31">
        <v>200</v>
      </c>
      <c r="C37" s="28" t="s">
        <v>51</v>
      </c>
      <c r="D37" s="32">
        <f t="shared" ref="D37:R37" si="13">D36*$B$34</f>
        <v>100</v>
      </c>
      <c r="E37" s="32">
        <f t="shared" si="13"/>
        <v>90</v>
      </c>
      <c r="F37" s="32">
        <f t="shared" si="13"/>
        <v>80</v>
      </c>
      <c r="G37" s="32">
        <f t="shared" si="13"/>
        <v>100</v>
      </c>
      <c r="H37" s="32">
        <f t="shared" si="13"/>
        <v>90</v>
      </c>
      <c r="I37" s="32">
        <f t="shared" si="13"/>
        <v>80</v>
      </c>
      <c r="J37" s="32">
        <f t="shared" si="13"/>
        <v>60</v>
      </c>
      <c r="K37" s="32">
        <f t="shared" si="13"/>
        <v>100</v>
      </c>
      <c r="L37" s="32">
        <f t="shared" si="13"/>
        <v>90</v>
      </c>
      <c r="M37" s="32">
        <f t="shared" si="13"/>
        <v>80</v>
      </c>
      <c r="N37" s="32">
        <f t="shared" si="13"/>
        <v>60</v>
      </c>
      <c r="O37" s="32">
        <f t="shared" si="13"/>
        <v>100</v>
      </c>
      <c r="P37" s="32">
        <f t="shared" si="13"/>
        <v>90</v>
      </c>
      <c r="Q37" s="32">
        <f t="shared" si="13"/>
        <v>80</v>
      </c>
      <c r="R37" s="32">
        <f t="shared" si="13"/>
        <v>60</v>
      </c>
      <c r="S37" s="15"/>
    </row>
    <row r="38" spans="1:20" x14ac:dyDescent="0.35">
      <c r="A38" s="28" t="s">
        <v>43</v>
      </c>
      <c r="B38" s="31" t="s">
        <v>15</v>
      </c>
      <c r="C38" s="28" t="s">
        <v>52</v>
      </c>
      <c r="D38" s="30">
        <f t="shared" ref="D38:R38" si="14">D36*$B$35</f>
        <v>40</v>
      </c>
      <c r="E38" s="30">
        <f t="shared" si="14"/>
        <v>36</v>
      </c>
      <c r="F38" s="30">
        <f t="shared" si="14"/>
        <v>32</v>
      </c>
      <c r="G38" s="30">
        <f t="shared" si="14"/>
        <v>40</v>
      </c>
      <c r="H38" s="30">
        <f t="shared" si="14"/>
        <v>36</v>
      </c>
      <c r="I38" s="30">
        <f t="shared" si="14"/>
        <v>32</v>
      </c>
      <c r="J38" s="30">
        <f t="shared" si="14"/>
        <v>24</v>
      </c>
      <c r="K38" s="30">
        <f t="shared" si="14"/>
        <v>40</v>
      </c>
      <c r="L38" s="30">
        <f t="shared" si="14"/>
        <v>36</v>
      </c>
      <c r="M38" s="30">
        <f t="shared" si="14"/>
        <v>32</v>
      </c>
      <c r="N38" s="30">
        <f t="shared" si="14"/>
        <v>24</v>
      </c>
      <c r="O38" s="30">
        <f t="shared" si="14"/>
        <v>40</v>
      </c>
      <c r="P38" s="30">
        <f t="shared" si="14"/>
        <v>36</v>
      </c>
      <c r="Q38" s="30">
        <f t="shared" si="14"/>
        <v>32</v>
      </c>
      <c r="R38" s="30">
        <f t="shared" si="14"/>
        <v>24</v>
      </c>
      <c r="S38" s="15"/>
    </row>
    <row r="39" spans="1:20" x14ac:dyDescent="0.35">
      <c r="A39" s="28" t="s">
        <v>44</v>
      </c>
      <c r="B39" s="27">
        <v>5</v>
      </c>
      <c r="C39" s="28" t="s">
        <v>53</v>
      </c>
      <c r="D39" s="30">
        <f t="shared" ref="D39:R39" si="15">D36*$B$70</f>
        <v>130000</v>
      </c>
      <c r="E39" s="30">
        <f t="shared" si="15"/>
        <v>117000</v>
      </c>
      <c r="F39" s="30">
        <f t="shared" si="15"/>
        <v>104000</v>
      </c>
      <c r="G39" s="30">
        <f t="shared" si="15"/>
        <v>130000</v>
      </c>
      <c r="H39" s="30">
        <f t="shared" si="15"/>
        <v>117000</v>
      </c>
      <c r="I39" s="30">
        <f t="shared" si="15"/>
        <v>104000</v>
      </c>
      <c r="J39" s="30">
        <f t="shared" si="15"/>
        <v>78000</v>
      </c>
      <c r="K39" s="30">
        <f t="shared" si="15"/>
        <v>130000</v>
      </c>
      <c r="L39" s="30">
        <f t="shared" si="15"/>
        <v>117000</v>
      </c>
      <c r="M39" s="30">
        <f t="shared" si="15"/>
        <v>104000</v>
      </c>
      <c r="N39" s="30">
        <f t="shared" si="15"/>
        <v>78000</v>
      </c>
      <c r="O39" s="30">
        <f t="shared" si="15"/>
        <v>130000</v>
      </c>
      <c r="P39" s="30">
        <f t="shared" si="15"/>
        <v>117000</v>
      </c>
      <c r="Q39" s="30">
        <f t="shared" si="15"/>
        <v>104000</v>
      </c>
      <c r="R39" s="30">
        <f t="shared" si="15"/>
        <v>78000</v>
      </c>
      <c r="S39" s="15"/>
    </row>
    <row r="40" spans="1:20" x14ac:dyDescent="0.35">
      <c r="A40" s="28" t="s">
        <v>45</v>
      </c>
      <c r="B40" s="27">
        <v>6500</v>
      </c>
      <c r="C40" s="33" t="s">
        <v>54</v>
      </c>
      <c r="D40" s="34">
        <v>1900</v>
      </c>
      <c r="E40" s="34">
        <v>1700</v>
      </c>
      <c r="F40" s="41">
        <v>1540</v>
      </c>
      <c r="G40" s="34">
        <v>1900</v>
      </c>
      <c r="H40" s="34">
        <v>1660</v>
      </c>
      <c r="I40" s="34">
        <v>1500</v>
      </c>
      <c r="J40" s="34">
        <v>1200</v>
      </c>
      <c r="K40" s="34">
        <v>1900</v>
      </c>
      <c r="L40" s="34">
        <v>1570</v>
      </c>
      <c r="M40" s="34">
        <v>1420</v>
      </c>
      <c r="N40" s="34">
        <v>1150</v>
      </c>
      <c r="O40" s="34">
        <v>1820</v>
      </c>
      <c r="P40" s="34">
        <v>1520</v>
      </c>
      <c r="Q40" s="34">
        <v>1400</v>
      </c>
      <c r="R40" s="34">
        <v>1100</v>
      </c>
      <c r="S40" s="15"/>
    </row>
    <row r="41" spans="1:20" x14ac:dyDescent="0.35">
      <c r="A41" s="28" t="s">
        <v>46</v>
      </c>
      <c r="B41" s="27">
        <v>200</v>
      </c>
      <c r="C41" s="4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35">
      <c r="A42" s="36"/>
      <c r="B42" s="27"/>
      <c r="C42" s="43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21" x14ac:dyDescent="0.5">
      <c r="A43" s="24" t="s">
        <v>16</v>
      </c>
      <c r="B43" s="39" t="s">
        <v>65</v>
      </c>
      <c r="C43" s="39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35">
      <c r="A44" s="28" t="s">
        <v>39</v>
      </c>
      <c r="B44" s="27">
        <v>5</v>
      </c>
      <c r="C44" s="29" t="s">
        <v>48</v>
      </c>
      <c r="D44" s="71">
        <v>140</v>
      </c>
      <c r="E44" s="72"/>
      <c r="F44" s="73"/>
      <c r="G44" s="77">
        <v>200</v>
      </c>
      <c r="H44" s="78"/>
      <c r="I44" s="78"/>
      <c r="J44" s="79"/>
      <c r="K44" s="71">
        <v>250</v>
      </c>
      <c r="L44" s="72"/>
      <c r="M44" s="72"/>
      <c r="N44" s="73"/>
      <c r="O44" s="71">
        <v>300</v>
      </c>
      <c r="P44" s="72"/>
      <c r="Q44" s="72"/>
      <c r="R44" s="72"/>
      <c r="S44" s="15"/>
    </row>
    <row r="45" spans="1:20" x14ac:dyDescent="0.35">
      <c r="A45" s="28" t="s">
        <v>40</v>
      </c>
      <c r="B45" s="27">
        <v>2</v>
      </c>
      <c r="C45" s="28" t="s">
        <v>49</v>
      </c>
      <c r="D45" s="27">
        <v>100</v>
      </c>
      <c r="E45" s="27">
        <v>120</v>
      </c>
      <c r="F45" s="27">
        <v>140</v>
      </c>
      <c r="G45" s="27">
        <v>100</v>
      </c>
      <c r="H45" s="27">
        <v>120</v>
      </c>
      <c r="I45" s="27">
        <v>140</v>
      </c>
      <c r="J45" s="27">
        <v>170</v>
      </c>
      <c r="K45" s="27">
        <v>100</v>
      </c>
      <c r="L45" s="27">
        <v>120</v>
      </c>
      <c r="M45" s="27">
        <v>140</v>
      </c>
      <c r="N45" s="27">
        <v>170</v>
      </c>
      <c r="O45" s="27">
        <v>100</v>
      </c>
      <c r="P45" s="27">
        <v>120</v>
      </c>
      <c r="Q45" s="27">
        <v>140</v>
      </c>
      <c r="R45" s="27">
        <v>170</v>
      </c>
      <c r="S45" s="15"/>
    </row>
    <row r="46" spans="1:20" x14ac:dyDescent="0.35">
      <c r="A46" s="28" t="s">
        <v>42</v>
      </c>
      <c r="B46" s="27">
        <v>65</v>
      </c>
      <c r="C46" s="28" t="s">
        <v>50</v>
      </c>
      <c r="D46" s="30">
        <f t="shared" ref="D46:R46" si="16">EVEN((1000/D45)*2)</f>
        <v>20</v>
      </c>
      <c r="E46" s="30">
        <f t="shared" si="16"/>
        <v>18</v>
      </c>
      <c r="F46" s="30">
        <f t="shared" si="16"/>
        <v>16</v>
      </c>
      <c r="G46" s="30">
        <f t="shared" si="16"/>
        <v>20</v>
      </c>
      <c r="H46" s="30">
        <f t="shared" si="16"/>
        <v>18</v>
      </c>
      <c r="I46" s="30">
        <f t="shared" si="16"/>
        <v>16</v>
      </c>
      <c r="J46" s="30">
        <f t="shared" si="16"/>
        <v>12</v>
      </c>
      <c r="K46" s="30">
        <f t="shared" si="16"/>
        <v>20</v>
      </c>
      <c r="L46" s="30">
        <f t="shared" si="16"/>
        <v>18</v>
      </c>
      <c r="M46" s="30">
        <f t="shared" si="16"/>
        <v>16</v>
      </c>
      <c r="N46" s="30">
        <f t="shared" si="16"/>
        <v>12</v>
      </c>
      <c r="O46" s="30">
        <f t="shared" si="16"/>
        <v>20</v>
      </c>
      <c r="P46" s="30">
        <f t="shared" si="16"/>
        <v>18</v>
      </c>
      <c r="Q46" s="30">
        <f t="shared" si="16"/>
        <v>16</v>
      </c>
      <c r="R46" s="30">
        <f t="shared" si="16"/>
        <v>12</v>
      </c>
      <c r="S46" s="15"/>
    </row>
    <row r="47" spans="1:20" x14ac:dyDescent="0.35">
      <c r="A47" s="28" t="s">
        <v>41</v>
      </c>
      <c r="B47" s="31">
        <v>200</v>
      </c>
      <c r="C47" s="28" t="s">
        <v>51</v>
      </c>
      <c r="D47" s="32">
        <f t="shared" ref="D47:R47" si="17">D46*$B$44</f>
        <v>100</v>
      </c>
      <c r="E47" s="32">
        <f t="shared" si="17"/>
        <v>90</v>
      </c>
      <c r="F47" s="32">
        <f t="shared" si="17"/>
        <v>80</v>
      </c>
      <c r="G47" s="32">
        <f t="shared" si="17"/>
        <v>100</v>
      </c>
      <c r="H47" s="32">
        <f t="shared" si="17"/>
        <v>90</v>
      </c>
      <c r="I47" s="32">
        <f t="shared" si="17"/>
        <v>80</v>
      </c>
      <c r="J47" s="32">
        <f t="shared" si="17"/>
        <v>60</v>
      </c>
      <c r="K47" s="32">
        <f t="shared" si="17"/>
        <v>100</v>
      </c>
      <c r="L47" s="32">
        <f t="shared" si="17"/>
        <v>90</v>
      </c>
      <c r="M47" s="32">
        <f t="shared" si="17"/>
        <v>80</v>
      </c>
      <c r="N47" s="32">
        <f t="shared" si="17"/>
        <v>60</v>
      </c>
      <c r="O47" s="32">
        <f t="shared" si="17"/>
        <v>100</v>
      </c>
      <c r="P47" s="32">
        <f t="shared" si="17"/>
        <v>90</v>
      </c>
      <c r="Q47" s="32">
        <f t="shared" si="17"/>
        <v>80</v>
      </c>
      <c r="R47" s="32">
        <f t="shared" si="17"/>
        <v>60</v>
      </c>
      <c r="S47" s="15"/>
    </row>
    <row r="48" spans="1:20" x14ac:dyDescent="0.35">
      <c r="A48" s="28" t="s">
        <v>43</v>
      </c>
      <c r="B48" s="31" t="s">
        <v>15</v>
      </c>
      <c r="C48" s="28" t="s">
        <v>52</v>
      </c>
      <c r="D48" s="30">
        <f t="shared" ref="D48:R48" si="18">D46*$B$45</f>
        <v>40</v>
      </c>
      <c r="E48" s="30">
        <f t="shared" si="18"/>
        <v>36</v>
      </c>
      <c r="F48" s="30">
        <f t="shared" si="18"/>
        <v>32</v>
      </c>
      <c r="G48" s="30">
        <f t="shared" si="18"/>
        <v>40</v>
      </c>
      <c r="H48" s="30">
        <f t="shared" si="18"/>
        <v>36</v>
      </c>
      <c r="I48" s="30">
        <f t="shared" si="18"/>
        <v>32</v>
      </c>
      <c r="J48" s="30">
        <f t="shared" si="18"/>
        <v>24</v>
      </c>
      <c r="K48" s="30">
        <f t="shared" si="18"/>
        <v>40</v>
      </c>
      <c r="L48" s="30">
        <f t="shared" si="18"/>
        <v>36</v>
      </c>
      <c r="M48" s="30">
        <f t="shared" si="18"/>
        <v>32</v>
      </c>
      <c r="N48" s="30">
        <f t="shared" si="18"/>
        <v>24</v>
      </c>
      <c r="O48" s="30">
        <f t="shared" si="18"/>
        <v>40</v>
      </c>
      <c r="P48" s="30">
        <f t="shared" si="18"/>
        <v>36</v>
      </c>
      <c r="Q48" s="30">
        <f t="shared" si="18"/>
        <v>32</v>
      </c>
      <c r="R48" s="30">
        <f t="shared" si="18"/>
        <v>24</v>
      </c>
      <c r="S48" s="15"/>
    </row>
    <row r="49" spans="1:20" x14ac:dyDescent="0.35">
      <c r="A49" s="28" t="s">
        <v>44</v>
      </c>
      <c r="B49" s="27">
        <v>5</v>
      </c>
      <c r="C49" s="28" t="s">
        <v>53</v>
      </c>
      <c r="D49" s="30">
        <f t="shared" ref="D49:R49" si="19">D46*$B$70</f>
        <v>130000</v>
      </c>
      <c r="E49" s="30">
        <f t="shared" si="19"/>
        <v>117000</v>
      </c>
      <c r="F49" s="30">
        <f t="shared" si="19"/>
        <v>104000</v>
      </c>
      <c r="G49" s="30">
        <f t="shared" si="19"/>
        <v>130000</v>
      </c>
      <c r="H49" s="30">
        <f t="shared" si="19"/>
        <v>117000</v>
      </c>
      <c r="I49" s="30">
        <f t="shared" si="19"/>
        <v>104000</v>
      </c>
      <c r="J49" s="30">
        <f t="shared" si="19"/>
        <v>78000</v>
      </c>
      <c r="K49" s="30">
        <f t="shared" si="19"/>
        <v>130000</v>
      </c>
      <c r="L49" s="30">
        <f t="shared" si="19"/>
        <v>117000</v>
      </c>
      <c r="M49" s="30">
        <f t="shared" si="19"/>
        <v>104000</v>
      </c>
      <c r="N49" s="30">
        <f t="shared" si="19"/>
        <v>78000</v>
      </c>
      <c r="O49" s="30">
        <f t="shared" si="19"/>
        <v>130000</v>
      </c>
      <c r="P49" s="30">
        <f t="shared" si="19"/>
        <v>117000</v>
      </c>
      <c r="Q49" s="30">
        <f t="shared" si="19"/>
        <v>104000</v>
      </c>
      <c r="R49" s="30">
        <f t="shared" si="19"/>
        <v>78000</v>
      </c>
      <c r="S49" s="15"/>
    </row>
    <row r="50" spans="1:20" x14ac:dyDescent="0.35">
      <c r="A50" s="28" t="s">
        <v>45</v>
      </c>
      <c r="B50" s="27">
        <v>6500</v>
      </c>
      <c r="C50" s="33" t="s">
        <v>54</v>
      </c>
      <c r="D50" s="34">
        <v>1700</v>
      </c>
      <c r="E50" s="34">
        <v>1500</v>
      </c>
      <c r="F50" s="41">
        <v>1360</v>
      </c>
      <c r="G50" s="34">
        <v>1700</v>
      </c>
      <c r="H50" s="34">
        <v>1400</v>
      </c>
      <c r="I50" s="34">
        <v>1330</v>
      </c>
      <c r="J50" s="34">
        <v>1100</v>
      </c>
      <c r="K50" s="34">
        <v>1700</v>
      </c>
      <c r="L50" s="34">
        <v>1400</v>
      </c>
      <c r="M50" s="34">
        <v>1270</v>
      </c>
      <c r="N50" s="34">
        <v>1080</v>
      </c>
      <c r="O50" s="34">
        <v>1600</v>
      </c>
      <c r="P50" s="34">
        <v>1350</v>
      </c>
      <c r="Q50" s="34">
        <v>1250</v>
      </c>
      <c r="R50" s="34">
        <v>1000</v>
      </c>
      <c r="S50" s="15"/>
    </row>
    <row r="51" spans="1:20" x14ac:dyDescent="0.35">
      <c r="A51" s="28" t="s">
        <v>46</v>
      </c>
      <c r="B51" s="27">
        <v>200</v>
      </c>
      <c r="C51" s="4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x14ac:dyDescent="0.35">
      <c r="A52" s="15"/>
      <c r="B52" s="2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21" x14ac:dyDescent="0.5">
      <c r="A53" s="24" t="s">
        <v>16</v>
      </c>
      <c r="B53" s="39" t="s">
        <v>64</v>
      </c>
      <c r="C53" s="39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x14ac:dyDescent="0.35">
      <c r="A54" s="28" t="s">
        <v>1</v>
      </c>
      <c r="B54" s="27">
        <v>5</v>
      </c>
      <c r="C54" s="29" t="s">
        <v>48</v>
      </c>
      <c r="D54" s="71">
        <v>140</v>
      </c>
      <c r="E54" s="73"/>
      <c r="F54" s="77">
        <v>200</v>
      </c>
      <c r="G54" s="78"/>
      <c r="H54" s="78"/>
      <c r="I54" s="79"/>
      <c r="J54" s="71">
        <v>250</v>
      </c>
      <c r="K54" s="72"/>
      <c r="L54" s="72"/>
      <c r="M54" s="73"/>
      <c r="N54" s="71">
        <v>300</v>
      </c>
      <c r="O54" s="72"/>
      <c r="P54" s="72"/>
      <c r="Q54" s="72"/>
      <c r="R54" s="15"/>
      <c r="S54" s="15"/>
    </row>
    <row r="55" spans="1:20" x14ac:dyDescent="0.35">
      <c r="A55" s="28" t="s">
        <v>2</v>
      </c>
      <c r="B55" s="27">
        <v>2</v>
      </c>
      <c r="C55" s="28" t="s">
        <v>49</v>
      </c>
      <c r="D55" s="27">
        <v>100</v>
      </c>
      <c r="E55" s="27">
        <v>120</v>
      </c>
      <c r="F55" s="27">
        <v>100</v>
      </c>
      <c r="G55" s="27">
        <v>120</v>
      </c>
      <c r="H55" s="27">
        <v>140</v>
      </c>
      <c r="I55" s="27">
        <v>170</v>
      </c>
      <c r="J55" s="27">
        <v>100</v>
      </c>
      <c r="K55" s="27">
        <v>120</v>
      </c>
      <c r="L55" s="27">
        <v>140</v>
      </c>
      <c r="M55" s="27">
        <v>170</v>
      </c>
      <c r="N55" s="27">
        <v>100</v>
      </c>
      <c r="O55" s="27">
        <v>120</v>
      </c>
      <c r="P55" s="27">
        <v>140</v>
      </c>
      <c r="Q55" s="27">
        <v>170</v>
      </c>
      <c r="R55" s="15"/>
      <c r="S55" s="15"/>
    </row>
    <row r="56" spans="1:20" x14ac:dyDescent="0.35">
      <c r="A56" s="28" t="s">
        <v>4</v>
      </c>
      <c r="B56" s="27">
        <v>65</v>
      </c>
      <c r="C56" s="28" t="s">
        <v>50</v>
      </c>
      <c r="D56" s="30">
        <f t="shared" ref="D56:Q56" si="20">EVEN((1000/D55)*2)</f>
        <v>20</v>
      </c>
      <c r="E56" s="30">
        <f t="shared" si="20"/>
        <v>18</v>
      </c>
      <c r="F56" s="30">
        <f t="shared" si="20"/>
        <v>20</v>
      </c>
      <c r="G56" s="30">
        <f t="shared" si="20"/>
        <v>18</v>
      </c>
      <c r="H56" s="30">
        <f t="shared" si="20"/>
        <v>16</v>
      </c>
      <c r="I56" s="30">
        <f t="shared" si="20"/>
        <v>12</v>
      </c>
      <c r="J56" s="30">
        <f t="shared" si="20"/>
        <v>20</v>
      </c>
      <c r="K56" s="30">
        <f t="shared" si="20"/>
        <v>18</v>
      </c>
      <c r="L56" s="30">
        <f t="shared" si="20"/>
        <v>16</v>
      </c>
      <c r="M56" s="30">
        <f t="shared" si="20"/>
        <v>12</v>
      </c>
      <c r="N56" s="30">
        <f t="shared" si="20"/>
        <v>20</v>
      </c>
      <c r="O56" s="30">
        <f t="shared" si="20"/>
        <v>18</v>
      </c>
      <c r="P56" s="30">
        <f t="shared" si="20"/>
        <v>16</v>
      </c>
      <c r="Q56" s="30">
        <f t="shared" si="20"/>
        <v>12</v>
      </c>
      <c r="R56" s="15"/>
      <c r="S56" s="15"/>
    </row>
    <row r="57" spans="1:20" x14ac:dyDescent="0.35">
      <c r="A57" s="28" t="s">
        <v>3</v>
      </c>
      <c r="B57" s="31">
        <v>200</v>
      </c>
      <c r="C57" s="28" t="s">
        <v>51</v>
      </c>
      <c r="D57" s="32">
        <f t="shared" ref="D57:Q57" si="21">D56*$B$54</f>
        <v>100</v>
      </c>
      <c r="E57" s="32">
        <f t="shared" si="21"/>
        <v>90</v>
      </c>
      <c r="F57" s="32">
        <f t="shared" si="21"/>
        <v>100</v>
      </c>
      <c r="G57" s="32">
        <f t="shared" si="21"/>
        <v>90</v>
      </c>
      <c r="H57" s="32">
        <f t="shared" si="21"/>
        <v>80</v>
      </c>
      <c r="I57" s="32">
        <f t="shared" si="21"/>
        <v>60</v>
      </c>
      <c r="J57" s="32">
        <f t="shared" si="21"/>
        <v>100</v>
      </c>
      <c r="K57" s="32">
        <f t="shared" si="21"/>
        <v>90</v>
      </c>
      <c r="L57" s="32">
        <f t="shared" si="21"/>
        <v>80</v>
      </c>
      <c r="M57" s="32">
        <f t="shared" si="21"/>
        <v>60</v>
      </c>
      <c r="N57" s="32">
        <f t="shared" si="21"/>
        <v>100</v>
      </c>
      <c r="O57" s="32">
        <f t="shared" si="21"/>
        <v>90</v>
      </c>
      <c r="P57" s="32">
        <f t="shared" si="21"/>
        <v>80</v>
      </c>
      <c r="Q57" s="32">
        <f t="shared" si="21"/>
        <v>60</v>
      </c>
      <c r="R57" s="15"/>
      <c r="S57" s="15"/>
    </row>
    <row r="58" spans="1:20" x14ac:dyDescent="0.35">
      <c r="A58" s="28" t="s">
        <v>5</v>
      </c>
      <c r="B58" s="31" t="s">
        <v>15</v>
      </c>
      <c r="C58" s="28" t="s">
        <v>52</v>
      </c>
      <c r="D58" s="30">
        <f t="shared" ref="D58:Q58" si="22">D56*$B$55</f>
        <v>40</v>
      </c>
      <c r="E58" s="30">
        <f t="shared" si="22"/>
        <v>36</v>
      </c>
      <c r="F58" s="30">
        <f t="shared" si="22"/>
        <v>40</v>
      </c>
      <c r="G58" s="30">
        <f t="shared" si="22"/>
        <v>36</v>
      </c>
      <c r="H58" s="30">
        <f t="shared" si="22"/>
        <v>32</v>
      </c>
      <c r="I58" s="30">
        <f t="shared" si="22"/>
        <v>24</v>
      </c>
      <c r="J58" s="30">
        <f t="shared" si="22"/>
        <v>40</v>
      </c>
      <c r="K58" s="30">
        <f t="shared" si="22"/>
        <v>36</v>
      </c>
      <c r="L58" s="30">
        <f t="shared" si="22"/>
        <v>32</v>
      </c>
      <c r="M58" s="30">
        <f t="shared" si="22"/>
        <v>24</v>
      </c>
      <c r="N58" s="30">
        <f t="shared" si="22"/>
        <v>40</v>
      </c>
      <c r="O58" s="30">
        <f t="shared" si="22"/>
        <v>36</v>
      </c>
      <c r="P58" s="30">
        <f t="shared" si="22"/>
        <v>32</v>
      </c>
      <c r="Q58" s="30">
        <f t="shared" si="22"/>
        <v>24</v>
      </c>
      <c r="R58" s="15"/>
      <c r="S58" s="15"/>
    </row>
    <row r="59" spans="1:20" x14ac:dyDescent="0.35">
      <c r="A59" s="28" t="s">
        <v>6</v>
      </c>
      <c r="B59" s="27">
        <v>5</v>
      </c>
      <c r="C59" s="28" t="s">
        <v>53</v>
      </c>
      <c r="D59" s="30">
        <f t="shared" ref="D59:Q59" si="23">D56*$B$70</f>
        <v>130000</v>
      </c>
      <c r="E59" s="30">
        <f t="shared" si="23"/>
        <v>117000</v>
      </c>
      <c r="F59" s="30">
        <f t="shared" si="23"/>
        <v>130000</v>
      </c>
      <c r="G59" s="30">
        <f t="shared" si="23"/>
        <v>117000</v>
      </c>
      <c r="H59" s="30">
        <f t="shared" si="23"/>
        <v>104000</v>
      </c>
      <c r="I59" s="30">
        <f t="shared" si="23"/>
        <v>78000</v>
      </c>
      <c r="J59" s="30">
        <f t="shared" si="23"/>
        <v>130000</v>
      </c>
      <c r="K59" s="30">
        <f t="shared" si="23"/>
        <v>117000</v>
      </c>
      <c r="L59" s="30">
        <f t="shared" si="23"/>
        <v>104000</v>
      </c>
      <c r="M59" s="30">
        <f t="shared" si="23"/>
        <v>78000</v>
      </c>
      <c r="N59" s="30">
        <f t="shared" si="23"/>
        <v>130000</v>
      </c>
      <c r="O59" s="30">
        <f t="shared" si="23"/>
        <v>117000</v>
      </c>
      <c r="P59" s="30">
        <f t="shared" si="23"/>
        <v>104000</v>
      </c>
      <c r="Q59" s="30">
        <f t="shared" si="23"/>
        <v>78000</v>
      </c>
      <c r="R59" s="15"/>
      <c r="S59" s="15"/>
    </row>
    <row r="60" spans="1:20" x14ac:dyDescent="0.35">
      <c r="A60" s="28" t="s">
        <v>7</v>
      </c>
      <c r="B60" s="27">
        <v>6500</v>
      </c>
      <c r="C60" s="33" t="s">
        <v>54</v>
      </c>
      <c r="D60" s="34">
        <v>1550</v>
      </c>
      <c r="E60" s="34">
        <v>1300</v>
      </c>
      <c r="F60" s="34">
        <v>1550</v>
      </c>
      <c r="G60" s="34">
        <v>1250</v>
      </c>
      <c r="H60" s="34">
        <v>1180</v>
      </c>
      <c r="I60" s="34">
        <v>1000</v>
      </c>
      <c r="J60" s="34">
        <v>1550</v>
      </c>
      <c r="K60" s="34">
        <v>1240</v>
      </c>
      <c r="L60" s="34">
        <v>1160</v>
      </c>
      <c r="M60" s="34">
        <v>1000</v>
      </c>
      <c r="N60" s="34">
        <v>1450</v>
      </c>
      <c r="O60" s="34">
        <v>1200</v>
      </c>
      <c r="P60" s="34">
        <v>1140</v>
      </c>
      <c r="Q60" s="34">
        <v>980</v>
      </c>
      <c r="R60" s="15"/>
      <c r="S60" s="15"/>
    </row>
    <row r="61" spans="1:20" x14ac:dyDescent="0.35">
      <c r="A61" s="28" t="s">
        <v>8</v>
      </c>
      <c r="B61" s="27">
        <v>200</v>
      </c>
      <c r="C61" s="4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x14ac:dyDescent="0.35">
      <c r="A62" s="15"/>
      <c r="B62" s="2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21" x14ac:dyDescent="0.5">
      <c r="A63" s="24" t="s">
        <v>16</v>
      </c>
      <c r="B63" s="39" t="s">
        <v>70</v>
      </c>
      <c r="C63" s="39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x14ac:dyDescent="0.35">
      <c r="A64" s="28" t="s">
        <v>39</v>
      </c>
      <c r="B64" s="27">
        <v>5</v>
      </c>
      <c r="C64" s="29" t="s">
        <v>48</v>
      </c>
      <c r="D64" s="71">
        <v>140</v>
      </c>
      <c r="E64" s="73"/>
      <c r="F64" s="77">
        <v>200</v>
      </c>
      <c r="G64" s="78"/>
      <c r="H64" s="78"/>
      <c r="I64" s="79"/>
      <c r="J64" s="71">
        <v>250</v>
      </c>
      <c r="K64" s="72"/>
      <c r="L64" s="72"/>
      <c r="M64" s="73"/>
      <c r="N64" s="71">
        <v>300</v>
      </c>
      <c r="O64" s="72"/>
      <c r="P64" s="72"/>
      <c r="Q64" s="72"/>
      <c r="R64" s="15"/>
      <c r="S64" s="15"/>
    </row>
    <row r="65" spans="1:20" x14ac:dyDescent="0.35">
      <c r="A65" s="28" t="s">
        <v>40</v>
      </c>
      <c r="B65" s="27">
        <v>2</v>
      </c>
      <c r="C65" s="28" t="s">
        <v>49</v>
      </c>
      <c r="D65" s="27">
        <v>100</v>
      </c>
      <c r="E65" s="27">
        <v>120</v>
      </c>
      <c r="F65" s="27">
        <v>100</v>
      </c>
      <c r="G65" s="27">
        <v>120</v>
      </c>
      <c r="H65" s="27">
        <v>140</v>
      </c>
      <c r="I65" s="27">
        <v>170</v>
      </c>
      <c r="J65" s="27">
        <v>100</v>
      </c>
      <c r="K65" s="27">
        <v>120</v>
      </c>
      <c r="L65" s="27">
        <v>140</v>
      </c>
      <c r="M65" s="27">
        <v>170</v>
      </c>
      <c r="N65" s="27">
        <v>100</v>
      </c>
      <c r="O65" s="27">
        <v>120</v>
      </c>
      <c r="P65" s="27">
        <v>140</v>
      </c>
      <c r="Q65" s="27">
        <v>170</v>
      </c>
      <c r="R65" s="15"/>
      <c r="S65" s="15"/>
    </row>
    <row r="66" spans="1:20" x14ac:dyDescent="0.35">
      <c r="A66" s="28" t="s">
        <v>42</v>
      </c>
      <c r="B66" s="27">
        <v>65</v>
      </c>
      <c r="C66" s="28" t="s">
        <v>50</v>
      </c>
      <c r="D66" s="30">
        <f t="shared" ref="D66:Q66" si="24">EVEN((1000/D65)*2)</f>
        <v>20</v>
      </c>
      <c r="E66" s="30">
        <f t="shared" si="24"/>
        <v>18</v>
      </c>
      <c r="F66" s="30">
        <f t="shared" si="24"/>
        <v>20</v>
      </c>
      <c r="G66" s="30">
        <f t="shared" si="24"/>
        <v>18</v>
      </c>
      <c r="H66" s="30">
        <f t="shared" si="24"/>
        <v>16</v>
      </c>
      <c r="I66" s="30">
        <f t="shared" si="24"/>
        <v>12</v>
      </c>
      <c r="J66" s="30">
        <f t="shared" si="24"/>
        <v>20</v>
      </c>
      <c r="K66" s="30">
        <f t="shared" si="24"/>
        <v>18</v>
      </c>
      <c r="L66" s="30">
        <f t="shared" si="24"/>
        <v>16</v>
      </c>
      <c r="M66" s="30">
        <f t="shared" si="24"/>
        <v>12</v>
      </c>
      <c r="N66" s="30">
        <f t="shared" si="24"/>
        <v>20</v>
      </c>
      <c r="O66" s="30">
        <f t="shared" si="24"/>
        <v>18</v>
      </c>
      <c r="P66" s="30">
        <f t="shared" si="24"/>
        <v>16</v>
      </c>
      <c r="Q66" s="30">
        <f t="shared" si="24"/>
        <v>12</v>
      </c>
      <c r="R66" s="15"/>
      <c r="S66" s="15"/>
    </row>
    <row r="67" spans="1:20" x14ac:dyDescent="0.35">
      <c r="A67" s="28" t="s">
        <v>41</v>
      </c>
      <c r="B67" s="31">
        <v>200</v>
      </c>
      <c r="C67" s="28" t="s">
        <v>51</v>
      </c>
      <c r="D67" s="32">
        <f t="shared" ref="D67:Q67" si="25">D66*$B$64</f>
        <v>100</v>
      </c>
      <c r="E67" s="32">
        <f t="shared" si="25"/>
        <v>90</v>
      </c>
      <c r="F67" s="32">
        <f t="shared" si="25"/>
        <v>100</v>
      </c>
      <c r="G67" s="32">
        <f t="shared" si="25"/>
        <v>90</v>
      </c>
      <c r="H67" s="32">
        <f t="shared" si="25"/>
        <v>80</v>
      </c>
      <c r="I67" s="32">
        <f t="shared" si="25"/>
        <v>60</v>
      </c>
      <c r="J67" s="32">
        <f t="shared" si="25"/>
        <v>100</v>
      </c>
      <c r="K67" s="32">
        <f t="shared" si="25"/>
        <v>90</v>
      </c>
      <c r="L67" s="32">
        <f t="shared" si="25"/>
        <v>80</v>
      </c>
      <c r="M67" s="32">
        <f t="shared" si="25"/>
        <v>60</v>
      </c>
      <c r="N67" s="32">
        <f t="shared" si="25"/>
        <v>100</v>
      </c>
      <c r="O67" s="32">
        <f t="shared" si="25"/>
        <v>90</v>
      </c>
      <c r="P67" s="32">
        <f t="shared" si="25"/>
        <v>80</v>
      </c>
      <c r="Q67" s="32">
        <f t="shared" si="25"/>
        <v>60</v>
      </c>
      <c r="R67" s="15"/>
      <c r="S67" s="15"/>
    </row>
    <row r="68" spans="1:20" x14ac:dyDescent="0.35">
      <c r="A68" s="28" t="s">
        <v>43</v>
      </c>
      <c r="B68" s="31" t="s">
        <v>15</v>
      </c>
      <c r="C68" s="28" t="s">
        <v>52</v>
      </c>
      <c r="D68" s="30">
        <f t="shared" ref="D68:Q68" si="26">D66*$B$65</f>
        <v>40</v>
      </c>
      <c r="E68" s="30">
        <f t="shared" si="26"/>
        <v>36</v>
      </c>
      <c r="F68" s="30">
        <f t="shared" si="26"/>
        <v>40</v>
      </c>
      <c r="G68" s="30">
        <f t="shared" si="26"/>
        <v>36</v>
      </c>
      <c r="H68" s="30">
        <f t="shared" si="26"/>
        <v>32</v>
      </c>
      <c r="I68" s="30">
        <f t="shared" si="26"/>
        <v>24</v>
      </c>
      <c r="J68" s="30">
        <f t="shared" si="26"/>
        <v>40</v>
      </c>
      <c r="K68" s="30">
        <f t="shared" si="26"/>
        <v>36</v>
      </c>
      <c r="L68" s="30">
        <f t="shared" si="26"/>
        <v>32</v>
      </c>
      <c r="M68" s="30">
        <f t="shared" si="26"/>
        <v>24</v>
      </c>
      <c r="N68" s="30">
        <f t="shared" si="26"/>
        <v>40</v>
      </c>
      <c r="O68" s="30">
        <f t="shared" si="26"/>
        <v>36</v>
      </c>
      <c r="P68" s="30">
        <f t="shared" si="26"/>
        <v>32</v>
      </c>
      <c r="Q68" s="30">
        <f t="shared" si="26"/>
        <v>24</v>
      </c>
      <c r="R68" s="15"/>
      <c r="S68" s="15"/>
    </row>
    <row r="69" spans="1:20" x14ac:dyDescent="0.35">
      <c r="A69" s="28" t="s">
        <v>44</v>
      </c>
      <c r="B69" s="27">
        <v>5</v>
      </c>
      <c r="C69" s="28" t="s">
        <v>53</v>
      </c>
      <c r="D69" s="30">
        <f t="shared" ref="D69:Q69" si="27">D66*$B$70</f>
        <v>130000</v>
      </c>
      <c r="E69" s="30">
        <f t="shared" si="27"/>
        <v>117000</v>
      </c>
      <c r="F69" s="30">
        <f t="shared" si="27"/>
        <v>130000</v>
      </c>
      <c r="G69" s="30">
        <f t="shared" si="27"/>
        <v>117000</v>
      </c>
      <c r="H69" s="30">
        <f t="shared" si="27"/>
        <v>104000</v>
      </c>
      <c r="I69" s="30">
        <f t="shared" si="27"/>
        <v>78000</v>
      </c>
      <c r="J69" s="30">
        <f t="shared" si="27"/>
        <v>130000</v>
      </c>
      <c r="K69" s="30">
        <f t="shared" si="27"/>
        <v>117000</v>
      </c>
      <c r="L69" s="30">
        <f t="shared" si="27"/>
        <v>104000</v>
      </c>
      <c r="M69" s="30">
        <f t="shared" si="27"/>
        <v>78000</v>
      </c>
      <c r="N69" s="30">
        <f t="shared" si="27"/>
        <v>130000</v>
      </c>
      <c r="O69" s="30">
        <f t="shared" si="27"/>
        <v>117000</v>
      </c>
      <c r="P69" s="30">
        <f t="shared" si="27"/>
        <v>104000</v>
      </c>
      <c r="Q69" s="30">
        <f t="shared" si="27"/>
        <v>78000</v>
      </c>
      <c r="R69" s="15"/>
      <c r="S69" s="15"/>
    </row>
    <row r="70" spans="1:20" x14ac:dyDescent="0.35">
      <c r="A70" s="28" t="s">
        <v>45</v>
      </c>
      <c r="B70" s="27">
        <v>6500</v>
      </c>
      <c r="C70" s="33" t="s">
        <v>54</v>
      </c>
      <c r="D70" s="34">
        <v>1400</v>
      </c>
      <c r="E70" s="34">
        <v>1100</v>
      </c>
      <c r="F70" s="34">
        <v>1400</v>
      </c>
      <c r="G70" s="34">
        <v>1100</v>
      </c>
      <c r="H70" s="34">
        <v>1060</v>
      </c>
      <c r="I70" s="34">
        <v>1000</v>
      </c>
      <c r="J70" s="34">
        <v>1400</v>
      </c>
      <c r="K70" s="34">
        <v>1080</v>
      </c>
      <c r="L70" s="34">
        <v>1050</v>
      </c>
      <c r="M70" s="34">
        <v>1000</v>
      </c>
      <c r="N70" s="34">
        <v>1300</v>
      </c>
      <c r="O70" s="34">
        <v>1050</v>
      </c>
      <c r="P70" s="34">
        <v>1000</v>
      </c>
      <c r="Q70" s="34">
        <v>950</v>
      </c>
      <c r="R70" s="15"/>
      <c r="S70" s="15"/>
    </row>
    <row r="71" spans="1:20" x14ac:dyDescent="0.35">
      <c r="A71" s="28" t="s">
        <v>46</v>
      </c>
      <c r="B71" s="27">
        <v>200</v>
      </c>
      <c r="C71" s="4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x14ac:dyDescent="0.35">
      <c r="A72" s="15"/>
      <c r="B72" s="2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21" x14ac:dyDescent="0.5">
      <c r="A73" s="24" t="s">
        <v>16</v>
      </c>
      <c r="B73" s="39" t="s">
        <v>69</v>
      </c>
      <c r="C73" s="39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x14ac:dyDescent="0.35">
      <c r="A74" s="28" t="s">
        <v>39</v>
      </c>
      <c r="B74" s="27">
        <v>5</v>
      </c>
      <c r="C74" s="29" t="s">
        <v>48</v>
      </c>
      <c r="D74" s="71">
        <v>140</v>
      </c>
      <c r="E74" s="73"/>
      <c r="F74" s="77">
        <v>200</v>
      </c>
      <c r="G74" s="78"/>
      <c r="H74" s="78"/>
      <c r="I74" s="79"/>
      <c r="J74" s="71">
        <v>250</v>
      </c>
      <c r="K74" s="72"/>
      <c r="L74" s="72"/>
      <c r="M74" s="73"/>
      <c r="N74" s="71">
        <v>300</v>
      </c>
      <c r="O74" s="72"/>
      <c r="P74" s="72"/>
      <c r="Q74" s="72"/>
      <c r="R74" s="15"/>
      <c r="S74" s="15"/>
    </row>
    <row r="75" spans="1:20" x14ac:dyDescent="0.35">
      <c r="A75" s="28" t="s">
        <v>40</v>
      </c>
      <c r="B75" s="27">
        <v>2</v>
      </c>
      <c r="C75" s="28" t="s">
        <v>49</v>
      </c>
      <c r="D75" s="27">
        <v>100</v>
      </c>
      <c r="E75" s="27">
        <v>120</v>
      </c>
      <c r="F75" s="27">
        <v>100</v>
      </c>
      <c r="G75" s="27">
        <v>120</v>
      </c>
      <c r="H75" s="27">
        <v>140</v>
      </c>
      <c r="I75" s="27">
        <v>170</v>
      </c>
      <c r="J75" s="27">
        <v>100</v>
      </c>
      <c r="K75" s="27">
        <v>120</v>
      </c>
      <c r="L75" s="27">
        <v>140</v>
      </c>
      <c r="M75" s="27">
        <v>170</v>
      </c>
      <c r="N75" s="27">
        <v>100</v>
      </c>
      <c r="O75" s="27">
        <v>120</v>
      </c>
      <c r="P75" s="27">
        <v>140</v>
      </c>
      <c r="Q75" s="27">
        <v>170</v>
      </c>
      <c r="R75" s="15"/>
      <c r="S75" s="15"/>
    </row>
    <row r="76" spans="1:20" x14ac:dyDescent="0.35">
      <c r="A76" s="28" t="s">
        <v>42</v>
      </c>
      <c r="B76" s="27">
        <v>65</v>
      </c>
      <c r="C76" s="28" t="s">
        <v>50</v>
      </c>
      <c r="D76" s="30">
        <f t="shared" ref="D76:Q76" si="28">EVEN((1000/D75)*2)</f>
        <v>20</v>
      </c>
      <c r="E76" s="30">
        <f t="shared" si="28"/>
        <v>18</v>
      </c>
      <c r="F76" s="30">
        <f t="shared" si="28"/>
        <v>20</v>
      </c>
      <c r="G76" s="30">
        <f t="shared" si="28"/>
        <v>18</v>
      </c>
      <c r="H76" s="30">
        <f t="shared" si="28"/>
        <v>16</v>
      </c>
      <c r="I76" s="30">
        <f t="shared" si="28"/>
        <v>12</v>
      </c>
      <c r="J76" s="30">
        <f t="shared" si="28"/>
        <v>20</v>
      </c>
      <c r="K76" s="30">
        <f t="shared" si="28"/>
        <v>18</v>
      </c>
      <c r="L76" s="30">
        <f t="shared" si="28"/>
        <v>16</v>
      </c>
      <c r="M76" s="30">
        <f t="shared" si="28"/>
        <v>12</v>
      </c>
      <c r="N76" s="30">
        <f t="shared" si="28"/>
        <v>20</v>
      </c>
      <c r="O76" s="30">
        <f t="shared" si="28"/>
        <v>18</v>
      </c>
      <c r="P76" s="30">
        <f t="shared" si="28"/>
        <v>16</v>
      </c>
      <c r="Q76" s="30">
        <f t="shared" si="28"/>
        <v>12</v>
      </c>
      <c r="R76" s="15"/>
      <c r="S76" s="15"/>
    </row>
    <row r="77" spans="1:20" x14ac:dyDescent="0.35">
      <c r="A77" s="28" t="s">
        <v>41</v>
      </c>
      <c r="B77" s="31">
        <v>200</v>
      </c>
      <c r="C77" s="28" t="s">
        <v>51</v>
      </c>
      <c r="D77" s="32">
        <f t="shared" ref="D77:Q77" si="29">D76*$B$74</f>
        <v>100</v>
      </c>
      <c r="E77" s="32">
        <f t="shared" si="29"/>
        <v>90</v>
      </c>
      <c r="F77" s="32">
        <f t="shared" si="29"/>
        <v>100</v>
      </c>
      <c r="G77" s="32">
        <f t="shared" si="29"/>
        <v>90</v>
      </c>
      <c r="H77" s="32">
        <f t="shared" si="29"/>
        <v>80</v>
      </c>
      <c r="I77" s="32">
        <f t="shared" si="29"/>
        <v>60</v>
      </c>
      <c r="J77" s="32">
        <f t="shared" si="29"/>
        <v>100</v>
      </c>
      <c r="K77" s="32">
        <f t="shared" si="29"/>
        <v>90</v>
      </c>
      <c r="L77" s="32">
        <f t="shared" si="29"/>
        <v>80</v>
      </c>
      <c r="M77" s="32">
        <f t="shared" si="29"/>
        <v>60</v>
      </c>
      <c r="N77" s="32">
        <f t="shared" si="29"/>
        <v>100</v>
      </c>
      <c r="O77" s="32">
        <f t="shared" si="29"/>
        <v>90</v>
      </c>
      <c r="P77" s="32">
        <f t="shared" si="29"/>
        <v>80</v>
      </c>
      <c r="Q77" s="32">
        <f t="shared" si="29"/>
        <v>60</v>
      </c>
      <c r="R77" s="15"/>
      <c r="S77" s="15"/>
    </row>
    <row r="78" spans="1:20" x14ac:dyDescent="0.35">
      <c r="A78" s="28" t="s">
        <v>43</v>
      </c>
      <c r="B78" s="31" t="s">
        <v>15</v>
      </c>
      <c r="C78" s="28" t="s">
        <v>52</v>
      </c>
      <c r="D78" s="30">
        <f t="shared" ref="D78:Q78" si="30">D76*$B$75</f>
        <v>40</v>
      </c>
      <c r="E78" s="30">
        <f t="shared" si="30"/>
        <v>36</v>
      </c>
      <c r="F78" s="30">
        <f t="shared" si="30"/>
        <v>40</v>
      </c>
      <c r="G78" s="30">
        <f t="shared" si="30"/>
        <v>36</v>
      </c>
      <c r="H78" s="30">
        <f t="shared" si="30"/>
        <v>32</v>
      </c>
      <c r="I78" s="30">
        <f t="shared" si="30"/>
        <v>24</v>
      </c>
      <c r="J78" s="30">
        <f t="shared" si="30"/>
        <v>40</v>
      </c>
      <c r="K78" s="30">
        <f t="shared" si="30"/>
        <v>36</v>
      </c>
      <c r="L78" s="30">
        <f t="shared" si="30"/>
        <v>32</v>
      </c>
      <c r="M78" s="30">
        <f t="shared" si="30"/>
        <v>24</v>
      </c>
      <c r="N78" s="30">
        <f t="shared" si="30"/>
        <v>40</v>
      </c>
      <c r="O78" s="30">
        <f t="shared" si="30"/>
        <v>36</v>
      </c>
      <c r="P78" s="30">
        <f t="shared" si="30"/>
        <v>32</v>
      </c>
      <c r="Q78" s="30">
        <f t="shared" si="30"/>
        <v>24</v>
      </c>
      <c r="R78" s="15"/>
      <c r="S78" s="15"/>
    </row>
    <row r="79" spans="1:20" x14ac:dyDescent="0.35">
      <c r="A79" s="28" t="s">
        <v>44</v>
      </c>
      <c r="B79" s="27">
        <v>5</v>
      </c>
      <c r="C79" s="28" t="s">
        <v>53</v>
      </c>
      <c r="D79" s="30">
        <f t="shared" ref="D79:Q79" si="31">D76*$B$70</f>
        <v>130000</v>
      </c>
      <c r="E79" s="30">
        <f t="shared" si="31"/>
        <v>117000</v>
      </c>
      <c r="F79" s="30">
        <f t="shared" si="31"/>
        <v>130000</v>
      </c>
      <c r="G79" s="30">
        <f t="shared" si="31"/>
        <v>117000</v>
      </c>
      <c r="H79" s="30">
        <f t="shared" si="31"/>
        <v>104000</v>
      </c>
      <c r="I79" s="30">
        <f t="shared" si="31"/>
        <v>78000</v>
      </c>
      <c r="J79" s="30">
        <f t="shared" si="31"/>
        <v>130000</v>
      </c>
      <c r="K79" s="30">
        <f t="shared" si="31"/>
        <v>117000</v>
      </c>
      <c r="L79" s="30">
        <f t="shared" si="31"/>
        <v>104000</v>
      </c>
      <c r="M79" s="30">
        <f t="shared" si="31"/>
        <v>78000</v>
      </c>
      <c r="N79" s="30">
        <f t="shared" si="31"/>
        <v>130000</v>
      </c>
      <c r="O79" s="30">
        <f t="shared" si="31"/>
        <v>117000</v>
      </c>
      <c r="P79" s="30">
        <f t="shared" si="31"/>
        <v>104000</v>
      </c>
      <c r="Q79" s="30">
        <f t="shared" si="31"/>
        <v>78000</v>
      </c>
      <c r="R79" s="15"/>
      <c r="S79" s="15"/>
    </row>
    <row r="80" spans="1:20" x14ac:dyDescent="0.35">
      <c r="A80" s="28" t="s">
        <v>45</v>
      </c>
      <c r="B80" s="27">
        <v>6500</v>
      </c>
      <c r="C80" s="33" t="s">
        <v>54</v>
      </c>
      <c r="D80" s="34">
        <v>1300</v>
      </c>
      <c r="E80" s="34">
        <v>1050</v>
      </c>
      <c r="F80" s="34">
        <v>1300</v>
      </c>
      <c r="G80" s="34">
        <v>1020</v>
      </c>
      <c r="H80" s="34">
        <v>980</v>
      </c>
      <c r="I80" s="34">
        <v>900</v>
      </c>
      <c r="J80" s="34">
        <v>1300</v>
      </c>
      <c r="K80" s="34">
        <v>1010</v>
      </c>
      <c r="L80" s="34">
        <v>960</v>
      </c>
      <c r="M80" s="34">
        <v>900</v>
      </c>
      <c r="N80" s="34">
        <v>1220</v>
      </c>
      <c r="O80" s="34">
        <v>970</v>
      </c>
      <c r="P80" s="34">
        <v>920</v>
      </c>
      <c r="Q80" s="34">
        <v>780</v>
      </c>
      <c r="R80" s="15"/>
      <c r="S80" s="15"/>
    </row>
    <row r="81" spans="1:20" x14ac:dyDescent="0.35">
      <c r="A81" s="28" t="s">
        <v>46</v>
      </c>
      <c r="B81" s="27">
        <v>200</v>
      </c>
      <c r="C81" s="4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x14ac:dyDescent="0.35">
      <c r="A82" s="15"/>
      <c r="B82" s="2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21" x14ac:dyDescent="0.5">
      <c r="A83" s="24" t="s">
        <v>16</v>
      </c>
      <c r="B83" s="39" t="s">
        <v>68</v>
      </c>
      <c r="C83" s="39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35">
      <c r="A84" s="28" t="s">
        <v>39</v>
      </c>
      <c r="B84" s="27">
        <v>5</v>
      </c>
      <c r="C84" s="29" t="s">
        <v>48</v>
      </c>
      <c r="D84" s="71">
        <v>140</v>
      </c>
      <c r="E84" s="73"/>
      <c r="F84" s="77">
        <v>200</v>
      </c>
      <c r="G84" s="78"/>
      <c r="H84" s="78"/>
      <c r="I84" s="79"/>
      <c r="J84" s="71">
        <v>250</v>
      </c>
      <c r="K84" s="72"/>
      <c r="L84" s="72"/>
      <c r="M84" s="73"/>
      <c r="N84" s="71">
        <v>300</v>
      </c>
      <c r="O84" s="72"/>
      <c r="P84" s="72"/>
      <c r="Q84" s="72"/>
      <c r="R84" s="15"/>
      <c r="S84" s="15"/>
    </row>
    <row r="85" spans="1:20" x14ac:dyDescent="0.35">
      <c r="A85" s="28" t="s">
        <v>40</v>
      </c>
      <c r="B85" s="27">
        <v>2</v>
      </c>
      <c r="C85" s="28" t="s">
        <v>49</v>
      </c>
      <c r="D85" s="27">
        <v>100</v>
      </c>
      <c r="E85" s="27">
        <v>120</v>
      </c>
      <c r="F85" s="27">
        <v>100</v>
      </c>
      <c r="G85" s="27">
        <v>120</v>
      </c>
      <c r="H85" s="27">
        <v>140</v>
      </c>
      <c r="I85" s="27">
        <v>170</v>
      </c>
      <c r="J85" s="27">
        <v>100</v>
      </c>
      <c r="K85" s="27">
        <v>120</v>
      </c>
      <c r="L85" s="27">
        <v>140</v>
      </c>
      <c r="M85" s="27">
        <v>170</v>
      </c>
      <c r="N85" s="27">
        <v>100</v>
      </c>
      <c r="O85" s="27">
        <v>120</v>
      </c>
      <c r="P85" s="27">
        <v>140</v>
      </c>
      <c r="Q85" s="27">
        <v>170</v>
      </c>
      <c r="R85" s="15"/>
      <c r="S85" s="15"/>
    </row>
    <row r="86" spans="1:20" x14ac:dyDescent="0.35">
      <c r="A86" s="28" t="s">
        <v>42</v>
      </c>
      <c r="B86" s="27">
        <v>65</v>
      </c>
      <c r="C86" s="28" t="s">
        <v>50</v>
      </c>
      <c r="D86" s="30">
        <f t="shared" ref="D86:Q86" si="32">EVEN((1000/D85)*2)</f>
        <v>20</v>
      </c>
      <c r="E86" s="30">
        <f t="shared" si="32"/>
        <v>18</v>
      </c>
      <c r="F86" s="30">
        <f t="shared" si="32"/>
        <v>20</v>
      </c>
      <c r="G86" s="30">
        <f t="shared" si="32"/>
        <v>18</v>
      </c>
      <c r="H86" s="30">
        <f t="shared" si="32"/>
        <v>16</v>
      </c>
      <c r="I86" s="30">
        <f t="shared" si="32"/>
        <v>12</v>
      </c>
      <c r="J86" s="30">
        <f t="shared" si="32"/>
        <v>20</v>
      </c>
      <c r="K86" s="30">
        <f t="shared" si="32"/>
        <v>18</v>
      </c>
      <c r="L86" s="30">
        <f t="shared" si="32"/>
        <v>16</v>
      </c>
      <c r="M86" s="30">
        <f t="shared" si="32"/>
        <v>12</v>
      </c>
      <c r="N86" s="30">
        <f t="shared" si="32"/>
        <v>20</v>
      </c>
      <c r="O86" s="30">
        <f t="shared" si="32"/>
        <v>18</v>
      </c>
      <c r="P86" s="30">
        <f t="shared" si="32"/>
        <v>16</v>
      </c>
      <c r="Q86" s="30">
        <f t="shared" si="32"/>
        <v>12</v>
      </c>
      <c r="R86" s="15"/>
      <c r="S86" s="15"/>
    </row>
    <row r="87" spans="1:20" x14ac:dyDescent="0.35">
      <c r="A87" s="28" t="s">
        <v>41</v>
      </c>
      <c r="B87" s="31">
        <v>200</v>
      </c>
      <c r="C87" s="28" t="s">
        <v>51</v>
      </c>
      <c r="D87" s="32">
        <f t="shared" ref="D87:Q87" si="33">D86*$B$84</f>
        <v>100</v>
      </c>
      <c r="E87" s="32">
        <f t="shared" si="33"/>
        <v>90</v>
      </c>
      <c r="F87" s="32">
        <f t="shared" si="33"/>
        <v>100</v>
      </c>
      <c r="G87" s="32">
        <f t="shared" si="33"/>
        <v>90</v>
      </c>
      <c r="H87" s="32">
        <f t="shared" si="33"/>
        <v>80</v>
      </c>
      <c r="I87" s="32">
        <f t="shared" si="33"/>
        <v>60</v>
      </c>
      <c r="J87" s="32">
        <f t="shared" si="33"/>
        <v>100</v>
      </c>
      <c r="K87" s="32">
        <f t="shared" si="33"/>
        <v>90</v>
      </c>
      <c r="L87" s="32">
        <f t="shared" si="33"/>
        <v>80</v>
      </c>
      <c r="M87" s="32">
        <f t="shared" si="33"/>
        <v>60</v>
      </c>
      <c r="N87" s="32">
        <f t="shared" si="33"/>
        <v>100</v>
      </c>
      <c r="O87" s="32">
        <f t="shared" si="33"/>
        <v>90</v>
      </c>
      <c r="P87" s="32">
        <f t="shared" si="33"/>
        <v>80</v>
      </c>
      <c r="Q87" s="32">
        <f t="shared" si="33"/>
        <v>60</v>
      </c>
      <c r="R87" s="32"/>
      <c r="S87" s="15"/>
    </row>
    <row r="88" spans="1:20" x14ac:dyDescent="0.35">
      <c r="A88" s="28" t="s">
        <v>43</v>
      </c>
      <c r="B88" s="31" t="s">
        <v>15</v>
      </c>
      <c r="C88" s="28" t="s">
        <v>52</v>
      </c>
      <c r="D88" s="30">
        <f t="shared" ref="D88:Q88" si="34">D86*$B$85</f>
        <v>40</v>
      </c>
      <c r="E88" s="30">
        <f t="shared" si="34"/>
        <v>36</v>
      </c>
      <c r="F88" s="30">
        <f t="shared" si="34"/>
        <v>40</v>
      </c>
      <c r="G88" s="30">
        <f t="shared" si="34"/>
        <v>36</v>
      </c>
      <c r="H88" s="30">
        <f t="shared" si="34"/>
        <v>32</v>
      </c>
      <c r="I88" s="30">
        <f t="shared" si="34"/>
        <v>24</v>
      </c>
      <c r="J88" s="30">
        <f t="shared" si="34"/>
        <v>40</v>
      </c>
      <c r="K88" s="30">
        <f t="shared" si="34"/>
        <v>36</v>
      </c>
      <c r="L88" s="30">
        <f t="shared" si="34"/>
        <v>32</v>
      </c>
      <c r="M88" s="30">
        <f t="shared" si="34"/>
        <v>24</v>
      </c>
      <c r="N88" s="30">
        <f t="shared" si="34"/>
        <v>40</v>
      </c>
      <c r="O88" s="30">
        <f t="shared" si="34"/>
        <v>36</v>
      </c>
      <c r="P88" s="30">
        <f t="shared" si="34"/>
        <v>32</v>
      </c>
      <c r="Q88" s="30">
        <f t="shared" si="34"/>
        <v>24</v>
      </c>
      <c r="R88" s="15"/>
      <c r="S88" s="15"/>
    </row>
    <row r="89" spans="1:20" x14ac:dyDescent="0.35">
      <c r="A89" s="28" t="s">
        <v>44</v>
      </c>
      <c r="B89" s="27">
        <v>5</v>
      </c>
      <c r="C89" s="28" t="s">
        <v>53</v>
      </c>
      <c r="D89" s="30">
        <f t="shared" ref="D89:Q89" si="35">D86*$B$70</f>
        <v>130000</v>
      </c>
      <c r="E89" s="30">
        <f t="shared" si="35"/>
        <v>117000</v>
      </c>
      <c r="F89" s="30">
        <f t="shared" si="35"/>
        <v>130000</v>
      </c>
      <c r="G89" s="30">
        <f t="shared" si="35"/>
        <v>117000</v>
      </c>
      <c r="H89" s="30">
        <f t="shared" si="35"/>
        <v>104000</v>
      </c>
      <c r="I89" s="30">
        <f t="shared" si="35"/>
        <v>78000</v>
      </c>
      <c r="J89" s="30">
        <f t="shared" si="35"/>
        <v>130000</v>
      </c>
      <c r="K89" s="30">
        <f t="shared" si="35"/>
        <v>117000</v>
      </c>
      <c r="L89" s="30">
        <f t="shared" si="35"/>
        <v>104000</v>
      </c>
      <c r="M89" s="30">
        <f t="shared" si="35"/>
        <v>78000</v>
      </c>
      <c r="N89" s="30">
        <f t="shared" si="35"/>
        <v>130000</v>
      </c>
      <c r="O89" s="30">
        <f t="shared" si="35"/>
        <v>117000</v>
      </c>
      <c r="P89" s="30">
        <f t="shared" si="35"/>
        <v>104000</v>
      </c>
      <c r="Q89" s="30">
        <f t="shared" si="35"/>
        <v>78000</v>
      </c>
      <c r="R89" s="15"/>
      <c r="S89" s="15"/>
    </row>
    <row r="90" spans="1:20" x14ac:dyDescent="0.35">
      <c r="A90" s="28" t="s">
        <v>45</v>
      </c>
      <c r="B90" s="27">
        <v>6500</v>
      </c>
      <c r="C90" s="33" t="s">
        <v>54</v>
      </c>
      <c r="D90" s="34">
        <v>1200</v>
      </c>
      <c r="E90" s="34">
        <v>960</v>
      </c>
      <c r="F90" s="34">
        <v>1200</v>
      </c>
      <c r="G90" s="34">
        <v>940</v>
      </c>
      <c r="H90" s="34">
        <v>910</v>
      </c>
      <c r="I90" s="34">
        <v>850</v>
      </c>
      <c r="J90" s="34">
        <v>1200</v>
      </c>
      <c r="K90" s="34">
        <v>940</v>
      </c>
      <c r="L90" s="34">
        <v>900</v>
      </c>
      <c r="M90" s="34">
        <v>780</v>
      </c>
      <c r="N90" s="34">
        <v>1150</v>
      </c>
      <c r="O90" s="34">
        <v>900</v>
      </c>
      <c r="P90" s="34">
        <v>850</v>
      </c>
      <c r="Q90" s="34">
        <v>750</v>
      </c>
      <c r="R90" s="15"/>
      <c r="S90" s="15"/>
    </row>
    <row r="91" spans="1:20" x14ac:dyDescent="0.35">
      <c r="A91" s="28" t="s">
        <v>46</v>
      </c>
      <c r="B91" s="27">
        <v>200</v>
      </c>
      <c r="C91" s="4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6" spans="1:20" ht="21" x14ac:dyDescent="0.5">
      <c r="A96" s="24" t="s">
        <v>17</v>
      </c>
      <c r="B96" s="76" t="s">
        <v>47</v>
      </c>
      <c r="C96" s="7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spans="1:16" x14ac:dyDescent="0.35">
      <c r="A97" s="28" t="s">
        <v>1</v>
      </c>
      <c r="B97" s="27">
        <v>1</v>
      </c>
      <c r="C97" s="29" t="s">
        <v>48</v>
      </c>
      <c r="D97" s="44">
        <v>100</v>
      </c>
      <c r="E97" s="71">
        <v>140</v>
      </c>
      <c r="F97" s="72"/>
      <c r="G97" s="73"/>
      <c r="H97" s="77">
        <v>200</v>
      </c>
      <c r="I97" s="78"/>
      <c r="J97" s="79"/>
      <c r="K97" s="71">
        <v>250</v>
      </c>
      <c r="L97" s="72"/>
      <c r="M97" s="73"/>
      <c r="N97" s="71">
        <v>300</v>
      </c>
      <c r="O97" s="72"/>
      <c r="P97" s="72"/>
    </row>
    <row r="98" spans="1:16" x14ac:dyDescent="0.35">
      <c r="A98" s="28" t="s">
        <v>2</v>
      </c>
      <c r="B98" s="27">
        <v>1.44</v>
      </c>
      <c r="C98" s="28" t="s">
        <v>49</v>
      </c>
      <c r="D98" s="27">
        <v>80</v>
      </c>
      <c r="E98" s="27">
        <v>80</v>
      </c>
      <c r="F98" s="27">
        <v>100</v>
      </c>
      <c r="G98" s="27">
        <v>130</v>
      </c>
      <c r="H98" s="27">
        <v>80</v>
      </c>
      <c r="I98" s="27">
        <v>100</v>
      </c>
      <c r="J98" s="27">
        <v>130</v>
      </c>
      <c r="K98" s="27">
        <v>80</v>
      </c>
      <c r="L98" s="27">
        <v>100</v>
      </c>
      <c r="M98" s="27">
        <v>130</v>
      </c>
      <c r="N98" s="27">
        <v>80</v>
      </c>
      <c r="O98" s="27">
        <v>100</v>
      </c>
      <c r="P98" s="27">
        <v>130</v>
      </c>
    </row>
    <row r="99" spans="1:16" x14ac:dyDescent="0.35">
      <c r="A99" s="28" t="s">
        <v>4</v>
      </c>
      <c r="B99" s="27">
        <v>65</v>
      </c>
      <c r="C99" s="28" t="s">
        <v>50</v>
      </c>
      <c r="D99" s="30">
        <f t="shared" ref="D99:P99" si="36">EVEN((1000/D98)*2)</f>
        <v>26</v>
      </c>
      <c r="E99" s="30">
        <f t="shared" si="36"/>
        <v>26</v>
      </c>
      <c r="F99" s="30">
        <f t="shared" si="36"/>
        <v>20</v>
      </c>
      <c r="G99" s="30">
        <f t="shared" si="36"/>
        <v>16</v>
      </c>
      <c r="H99" s="30">
        <f t="shared" si="36"/>
        <v>26</v>
      </c>
      <c r="I99" s="30">
        <f t="shared" si="36"/>
        <v>20</v>
      </c>
      <c r="J99" s="30">
        <f t="shared" si="36"/>
        <v>16</v>
      </c>
      <c r="K99" s="30">
        <f t="shared" si="36"/>
        <v>26</v>
      </c>
      <c r="L99" s="30">
        <f t="shared" si="36"/>
        <v>20</v>
      </c>
      <c r="M99" s="30">
        <f t="shared" si="36"/>
        <v>16</v>
      </c>
      <c r="N99" s="30">
        <f t="shared" si="36"/>
        <v>26</v>
      </c>
      <c r="O99" s="30">
        <f t="shared" si="36"/>
        <v>20</v>
      </c>
      <c r="P99" s="30">
        <f t="shared" si="36"/>
        <v>16</v>
      </c>
    </row>
    <row r="100" spans="1:16" x14ac:dyDescent="0.35">
      <c r="A100" s="28" t="s">
        <v>3</v>
      </c>
      <c r="B100" s="31">
        <v>140</v>
      </c>
      <c r="C100" s="28" t="s">
        <v>51</v>
      </c>
      <c r="D100" s="32">
        <f>D99*$B$97</f>
        <v>26</v>
      </c>
      <c r="E100" s="32">
        <f t="shared" ref="E100:P100" si="37">E99*$B$97</f>
        <v>26</v>
      </c>
      <c r="F100" s="32">
        <f t="shared" si="37"/>
        <v>20</v>
      </c>
      <c r="G100" s="32">
        <f t="shared" si="37"/>
        <v>16</v>
      </c>
      <c r="H100" s="32">
        <f t="shared" si="37"/>
        <v>26</v>
      </c>
      <c r="I100" s="32">
        <f t="shared" si="37"/>
        <v>20</v>
      </c>
      <c r="J100" s="32">
        <f t="shared" si="37"/>
        <v>16</v>
      </c>
      <c r="K100" s="32">
        <f t="shared" si="37"/>
        <v>26</v>
      </c>
      <c r="L100" s="32">
        <f t="shared" si="37"/>
        <v>20</v>
      </c>
      <c r="M100" s="32">
        <f t="shared" si="37"/>
        <v>16</v>
      </c>
      <c r="N100" s="32">
        <f t="shared" si="37"/>
        <v>26</v>
      </c>
      <c r="O100" s="32">
        <f t="shared" si="37"/>
        <v>20</v>
      </c>
      <c r="P100" s="32">
        <f t="shared" si="37"/>
        <v>16</v>
      </c>
    </row>
    <row r="101" spans="1:16" x14ac:dyDescent="0.35">
      <c r="A101" s="28" t="s">
        <v>5</v>
      </c>
      <c r="B101" s="31" t="s">
        <v>15</v>
      </c>
      <c r="C101" s="28" t="s">
        <v>52</v>
      </c>
      <c r="D101" s="30">
        <f>D99*$B$98</f>
        <v>37.44</v>
      </c>
      <c r="E101" s="30">
        <f t="shared" ref="E101:P101" si="38">E99*$B$98</f>
        <v>37.44</v>
      </c>
      <c r="F101" s="30">
        <f t="shared" si="38"/>
        <v>28.799999999999997</v>
      </c>
      <c r="G101" s="30">
        <f t="shared" si="38"/>
        <v>23.04</v>
      </c>
      <c r="H101" s="30">
        <f t="shared" si="38"/>
        <v>37.44</v>
      </c>
      <c r="I101" s="30">
        <f t="shared" si="38"/>
        <v>28.799999999999997</v>
      </c>
      <c r="J101" s="30">
        <f t="shared" si="38"/>
        <v>23.04</v>
      </c>
      <c r="K101" s="30">
        <f t="shared" si="38"/>
        <v>37.44</v>
      </c>
      <c r="L101" s="30">
        <f t="shared" si="38"/>
        <v>28.799999999999997</v>
      </c>
      <c r="M101" s="30">
        <f t="shared" si="38"/>
        <v>23.04</v>
      </c>
      <c r="N101" s="30">
        <f t="shared" si="38"/>
        <v>37.44</v>
      </c>
      <c r="O101" s="30">
        <f t="shared" si="38"/>
        <v>28.799999999999997</v>
      </c>
      <c r="P101" s="30">
        <f t="shared" si="38"/>
        <v>23.04</v>
      </c>
    </row>
    <row r="102" spans="1:16" x14ac:dyDescent="0.35">
      <c r="A102" s="28" t="s">
        <v>6</v>
      </c>
      <c r="B102" s="27">
        <v>3</v>
      </c>
      <c r="C102" s="28" t="s">
        <v>53</v>
      </c>
      <c r="D102" s="30">
        <f>D99*$B$100</f>
        <v>3640</v>
      </c>
      <c r="E102" s="30">
        <f t="shared" ref="E102:P102" si="39">E99*$B$100</f>
        <v>3640</v>
      </c>
      <c r="F102" s="30">
        <f t="shared" si="39"/>
        <v>2800</v>
      </c>
      <c r="G102" s="30">
        <f t="shared" si="39"/>
        <v>2240</v>
      </c>
      <c r="H102" s="30">
        <f t="shared" si="39"/>
        <v>3640</v>
      </c>
      <c r="I102" s="30">
        <f t="shared" si="39"/>
        <v>2800</v>
      </c>
      <c r="J102" s="30">
        <f t="shared" si="39"/>
        <v>2240</v>
      </c>
      <c r="K102" s="30">
        <f t="shared" si="39"/>
        <v>3640</v>
      </c>
      <c r="L102" s="30">
        <f t="shared" si="39"/>
        <v>2800</v>
      </c>
      <c r="M102" s="30">
        <f t="shared" si="39"/>
        <v>2240</v>
      </c>
      <c r="N102" s="30">
        <f t="shared" si="39"/>
        <v>3640</v>
      </c>
      <c r="O102" s="30">
        <f t="shared" si="39"/>
        <v>2800</v>
      </c>
      <c r="P102" s="30">
        <f t="shared" si="39"/>
        <v>2240</v>
      </c>
    </row>
    <row r="103" spans="1:16" x14ac:dyDescent="0.35">
      <c r="A103" s="28" t="s">
        <v>7</v>
      </c>
      <c r="B103" s="27">
        <v>7500</v>
      </c>
      <c r="C103" s="33" t="s">
        <v>54</v>
      </c>
      <c r="D103" s="34">
        <v>2300</v>
      </c>
      <c r="E103" s="34">
        <v>2200</v>
      </c>
      <c r="F103" s="34">
        <v>1900</v>
      </c>
      <c r="G103" s="34">
        <v>1480</v>
      </c>
      <c r="H103" s="34">
        <v>2100</v>
      </c>
      <c r="I103" s="34">
        <v>1700</v>
      </c>
      <c r="J103" s="34">
        <v>1370</v>
      </c>
      <c r="K103" s="34">
        <v>2050</v>
      </c>
      <c r="L103" s="34">
        <v>1620</v>
      </c>
      <c r="M103" s="34">
        <v>1280</v>
      </c>
      <c r="N103" s="34">
        <v>2000</v>
      </c>
      <c r="O103" s="34">
        <v>1500</v>
      </c>
      <c r="P103" s="34">
        <v>1180</v>
      </c>
    </row>
    <row r="104" spans="1:16" x14ac:dyDescent="0.35">
      <c r="A104" s="28" t="s">
        <v>8</v>
      </c>
      <c r="B104" s="27">
        <v>130</v>
      </c>
      <c r="C104" s="15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 x14ac:dyDescent="0.35">
      <c r="A105" s="15"/>
      <c r="B105" s="27"/>
      <c r="C105" s="15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 ht="21" x14ac:dyDescent="0.5">
      <c r="A106" s="24" t="s">
        <v>17</v>
      </c>
      <c r="B106" s="76" t="s">
        <v>56</v>
      </c>
      <c r="C106" s="7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 x14ac:dyDescent="0.35">
      <c r="A107" s="28" t="s">
        <v>39</v>
      </c>
      <c r="B107" s="27">
        <v>1</v>
      </c>
      <c r="C107" s="29" t="s">
        <v>48</v>
      </c>
      <c r="D107" s="44">
        <v>100</v>
      </c>
      <c r="E107" s="71">
        <v>140</v>
      </c>
      <c r="F107" s="72"/>
      <c r="G107" s="73"/>
      <c r="H107" s="77">
        <v>200</v>
      </c>
      <c r="I107" s="78"/>
      <c r="J107" s="79"/>
      <c r="K107" s="71">
        <v>250</v>
      </c>
      <c r="L107" s="72"/>
      <c r="M107" s="73"/>
      <c r="N107" s="71">
        <v>300</v>
      </c>
      <c r="O107" s="72"/>
      <c r="P107" s="72"/>
    </row>
    <row r="108" spans="1:16" x14ac:dyDescent="0.35">
      <c r="A108" s="28" t="s">
        <v>40</v>
      </c>
      <c r="B108" s="27">
        <v>1.44</v>
      </c>
      <c r="C108" s="28" t="s">
        <v>49</v>
      </c>
      <c r="D108" s="27">
        <v>80</v>
      </c>
      <c r="E108" s="27">
        <v>80</v>
      </c>
      <c r="F108" s="27">
        <v>100</v>
      </c>
      <c r="G108" s="27">
        <v>130</v>
      </c>
      <c r="H108" s="27">
        <v>80</v>
      </c>
      <c r="I108" s="27">
        <v>100</v>
      </c>
      <c r="J108" s="27">
        <v>130</v>
      </c>
      <c r="K108" s="27">
        <v>80</v>
      </c>
      <c r="L108" s="27">
        <v>100</v>
      </c>
      <c r="M108" s="27">
        <v>130</v>
      </c>
      <c r="N108" s="27">
        <v>80</v>
      </c>
      <c r="O108" s="27">
        <v>100</v>
      </c>
      <c r="P108" s="27">
        <v>130</v>
      </c>
    </row>
    <row r="109" spans="1:16" x14ac:dyDescent="0.35">
      <c r="A109" s="28" t="s">
        <v>42</v>
      </c>
      <c r="B109" s="27">
        <v>65</v>
      </c>
      <c r="C109" s="28" t="s">
        <v>50</v>
      </c>
      <c r="D109" s="30">
        <f t="shared" ref="D109:P109" si="40">EVEN((1000/D108)*2)</f>
        <v>26</v>
      </c>
      <c r="E109" s="30">
        <f t="shared" si="40"/>
        <v>26</v>
      </c>
      <c r="F109" s="30">
        <f t="shared" si="40"/>
        <v>20</v>
      </c>
      <c r="G109" s="30">
        <f t="shared" si="40"/>
        <v>16</v>
      </c>
      <c r="H109" s="30">
        <f t="shared" si="40"/>
        <v>26</v>
      </c>
      <c r="I109" s="30">
        <f t="shared" si="40"/>
        <v>20</v>
      </c>
      <c r="J109" s="30">
        <f t="shared" si="40"/>
        <v>16</v>
      </c>
      <c r="K109" s="30">
        <f t="shared" si="40"/>
        <v>26</v>
      </c>
      <c r="L109" s="30">
        <f t="shared" si="40"/>
        <v>20</v>
      </c>
      <c r="M109" s="30">
        <f t="shared" si="40"/>
        <v>16</v>
      </c>
      <c r="N109" s="30">
        <f t="shared" si="40"/>
        <v>26</v>
      </c>
      <c r="O109" s="30">
        <f t="shared" si="40"/>
        <v>20</v>
      </c>
      <c r="P109" s="30">
        <f t="shared" si="40"/>
        <v>16</v>
      </c>
    </row>
    <row r="110" spans="1:16" x14ac:dyDescent="0.35">
      <c r="A110" s="28" t="s">
        <v>41</v>
      </c>
      <c r="B110" s="31">
        <v>140</v>
      </c>
      <c r="C110" s="28" t="s">
        <v>51</v>
      </c>
      <c r="D110" s="32">
        <f>D109*$B$107</f>
        <v>26</v>
      </c>
      <c r="E110" s="32">
        <f t="shared" ref="E110:P110" si="41">E109*$B$107</f>
        <v>26</v>
      </c>
      <c r="F110" s="32">
        <f t="shared" si="41"/>
        <v>20</v>
      </c>
      <c r="G110" s="32">
        <f t="shared" si="41"/>
        <v>16</v>
      </c>
      <c r="H110" s="32">
        <f t="shared" si="41"/>
        <v>26</v>
      </c>
      <c r="I110" s="32">
        <f t="shared" si="41"/>
        <v>20</v>
      </c>
      <c r="J110" s="32">
        <f t="shared" si="41"/>
        <v>16</v>
      </c>
      <c r="K110" s="32">
        <f t="shared" si="41"/>
        <v>26</v>
      </c>
      <c r="L110" s="32">
        <f t="shared" si="41"/>
        <v>20</v>
      </c>
      <c r="M110" s="32">
        <f t="shared" si="41"/>
        <v>16</v>
      </c>
      <c r="N110" s="32">
        <f t="shared" si="41"/>
        <v>26</v>
      </c>
      <c r="O110" s="32">
        <f t="shared" si="41"/>
        <v>20</v>
      </c>
      <c r="P110" s="32">
        <f t="shared" si="41"/>
        <v>16</v>
      </c>
    </row>
    <row r="111" spans="1:16" x14ac:dyDescent="0.35">
      <c r="A111" s="28" t="s">
        <v>43</v>
      </c>
      <c r="B111" s="31" t="s">
        <v>15</v>
      </c>
      <c r="C111" s="28" t="s">
        <v>52</v>
      </c>
      <c r="D111" s="30">
        <f>D109*$B$108</f>
        <v>37.44</v>
      </c>
      <c r="E111" s="30">
        <f t="shared" ref="E111:P111" si="42">E109*$B$108</f>
        <v>37.44</v>
      </c>
      <c r="F111" s="30">
        <f t="shared" si="42"/>
        <v>28.799999999999997</v>
      </c>
      <c r="G111" s="30">
        <f t="shared" si="42"/>
        <v>23.04</v>
      </c>
      <c r="H111" s="30">
        <f t="shared" si="42"/>
        <v>37.44</v>
      </c>
      <c r="I111" s="30">
        <f t="shared" si="42"/>
        <v>28.799999999999997</v>
      </c>
      <c r="J111" s="30">
        <f t="shared" si="42"/>
        <v>23.04</v>
      </c>
      <c r="K111" s="30">
        <f t="shared" si="42"/>
        <v>37.44</v>
      </c>
      <c r="L111" s="30">
        <f t="shared" si="42"/>
        <v>28.799999999999997</v>
      </c>
      <c r="M111" s="30">
        <f t="shared" si="42"/>
        <v>23.04</v>
      </c>
      <c r="N111" s="30">
        <f t="shared" si="42"/>
        <v>37.44</v>
      </c>
      <c r="O111" s="30">
        <f t="shared" si="42"/>
        <v>28.799999999999997</v>
      </c>
      <c r="P111" s="30">
        <f t="shared" si="42"/>
        <v>23.04</v>
      </c>
    </row>
    <row r="112" spans="1:16" x14ac:dyDescent="0.35">
      <c r="A112" s="28" t="s">
        <v>44</v>
      </c>
      <c r="B112" s="27">
        <v>3</v>
      </c>
      <c r="C112" s="28" t="s">
        <v>53</v>
      </c>
      <c r="D112" s="30">
        <f>D109*$B$110</f>
        <v>3640</v>
      </c>
      <c r="E112" s="30">
        <f t="shared" ref="E112:P112" si="43">E109*$B$110</f>
        <v>3640</v>
      </c>
      <c r="F112" s="30">
        <f t="shared" si="43"/>
        <v>2800</v>
      </c>
      <c r="G112" s="30">
        <f t="shared" si="43"/>
        <v>2240</v>
      </c>
      <c r="H112" s="30">
        <f t="shared" si="43"/>
        <v>3640</v>
      </c>
      <c r="I112" s="30">
        <f t="shared" si="43"/>
        <v>2800</v>
      </c>
      <c r="J112" s="30">
        <f t="shared" si="43"/>
        <v>2240</v>
      </c>
      <c r="K112" s="30">
        <f t="shared" si="43"/>
        <v>3640</v>
      </c>
      <c r="L112" s="30">
        <f t="shared" si="43"/>
        <v>2800</v>
      </c>
      <c r="M112" s="30">
        <f t="shared" si="43"/>
        <v>2240</v>
      </c>
      <c r="N112" s="30">
        <f t="shared" si="43"/>
        <v>3640</v>
      </c>
      <c r="O112" s="30">
        <f t="shared" si="43"/>
        <v>2800</v>
      </c>
      <c r="P112" s="30">
        <f t="shared" si="43"/>
        <v>2240</v>
      </c>
    </row>
    <row r="113" spans="1:16" x14ac:dyDescent="0.35">
      <c r="A113" s="28" t="s">
        <v>45</v>
      </c>
      <c r="B113" s="27">
        <v>7500</v>
      </c>
      <c r="C113" s="33" t="s">
        <v>54</v>
      </c>
      <c r="D113" s="34">
        <v>1900</v>
      </c>
      <c r="E113" s="34">
        <v>1800</v>
      </c>
      <c r="F113" s="34">
        <v>1560</v>
      </c>
      <c r="G113" s="34">
        <v>1250</v>
      </c>
      <c r="H113" s="34">
        <v>1750</v>
      </c>
      <c r="I113" s="34">
        <v>1500</v>
      </c>
      <c r="J113" s="34">
        <v>1180</v>
      </c>
      <c r="K113" s="34">
        <v>1700</v>
      </c>
      <c r="L113" s="34">
        <v>1400</v>
      </c>
      <c r="M113" s="34">
        <v>1150</v>
      </c>
      <c r="N113" s="34">
        <v>1650</v>
      </c>
      <c r="O113" s="34">
        <v>1330</v>
      </c>
      <c r="P113" s="34">
        <v>1180</v>
      </c>
    </row>
    <row r="114" spans="1:16" x14ac:dyDescent="0.35">
      <c r="A114" s="28" t="s">
        <v>46</v>
      </c>
      <c r="B114" s="27">
        <v>130</v>
      </c>
      <c r="C114" s="15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 x14ac:dyDescent="0.35">
      <c r="A115" s="15"/>
      <c r="B115" s="27"/>
      <c r="C115" s="15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 ht="21" x14ac:dyDescent="0.5">
      <c r="A116" s="24" t="s">
        <v>17</v>
      </c>
      <c r="B116" s="76" t="s">
        <v>67</v>
      </c>
      <c r="C116" s="7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 x14ac:dyDescent="0.35">
      <c r="A117" s="28" t="s">
        <v>39</v>
      </c>
      <c r="B117" s="27">
        <v>1</v>
      </c>
      <c r="C117" s="29" t="s">
        <v>48</v>
      </c>
      <c r="D117" s="44">
        <v>100</v>
      </c>
      <c r="E117" s="71">
        <v>140</v>
      </c>
      <c r="F117" s="72"/>
      <c r="G117" s="73"/>
      <c r="H117" s="77">
        <v>200</v>
      </c>
      <c r="I117" s="78"/>
      <c r="J117" s="79"/>
      <c r="K117" s="71">
        <v>250</v>
      </c>
      <c r="L117" s="72"/>
      <c r="M117" s="73"/>
      <c r="N117" s="71">
        <v>300</v>
      </c>
      <c r="O117" s="72"/>
      <c r="P117" s="72"/>
    </row>
    <row r="118" spans="1:16" x14ac:dyDescent="0.35">
      <c r="A118" s="28" t="s">
        <v>40</v>
      </c>
      <c r="B118" s="27">
        <v>1.44</v>
      </c>
      <c r="C118" s="28" t="s">
        <v>49</v>
      </c>
      <c r="D118" s="27">
        <v>80</v>
      </c>
      <c r="E118" s="27">
        <v>80</v>
      </c>
      <c r="F118" s="27">
        <v>100</v>
      </c>
      <c r="G118" s="27">
        <v>130</v>
      </c>
      <c r="H118" s="27">
        <v>80</v>
      </c>
      <c r="I118" s="27">
        <v>100</v>
      </c>
      <c r="J118" s="27">
        <v>130</v>
      </c>
      <c r="K118" s="27">
        <v>80</v>
      </c>
      <c r="L118" s="27">
        <v>100</v>
      </c>
      <c r="M118" s="27">
        <v>130</v>
      </c>
      <c r="N118" s="27">
        <v>80</v>
      </c>
      <c r="O118" s="27">
        <v>100</v>
      </c>
      <c r="P118" s="27">
        <v>130</v>
      </c>
    </row>
    <row r="119" spans="1:16" x14ac:dyDescent="0.35">
      <c r="A119" s="28" t="s">
        <v>42</v>
      </c>
      <c r="B119" s="27">
        <v>65</v>
      </c>
      <c r="C119" s="28" t="s">
        <v>50</v>
      </c>
      <c r="D119" s="30">
        <f t="shared" ref="D119:P119" si="44">EVEN((1000/D118)*2)</f>
        <v>26</v>
      </c>
      <c r="E119" s="30">
        <f t="shared" si="44"/>
        <v>26</v>
      </c>
      <c r="F119" s="30">
        <f t="shared" si="44"/>
        <v>20</v>
      </c>
      <c r="G119" s="30">
        <f t="shared" si="44"/>
        <v>16</v>
      </c>
      <c r="H119" s="30">
        <f t="shared" si="44"/>
        <v>26</v>
      </c>
      <c r="I119" s="30">
        <f t="shared" si="44"/>
        <v>20</v>
      </c>
      <c r="J119" s="30">
        <f t="shared" si="44"/>
        <v>16</v>
      </c>
      <c r="K119" s="30">
        <f t="shared" si="44"/>
        <v>26</v>
      </c>
      <c r="L119" s="30">
        <f t="shared" si="44"/>
        <v>20</v>
      </c>
      <c r="M119" s="30">
        <f t="shared" si="44"/>
        <v>16</v>
      </c>
      <c r="N119" s="30">
        <f t="shared" si="44"/>
        <v>26</v>
      </c>
      <c r="O119" s="30">
        <f t="shared" si="44"/>
        <v>20</v>
      </c>
      <c r="P119" s="30">
        <f t="shared" si="44"/>
        <v>16</v>
      </c>
    </row>
    <row r="120" spans="1:16" x14ac:dyDescent="0.35">
      <c r="A120" s="28" t="s">
        <v>41</v>
      </c>
      <c r="B120" s="31">
        <v>140</v>
      </c>
      <c r="C120" s="28" t="s">
        <v>51</v>
      </c>
      <c r="D120" s="32">
        <f>D119*$B$117</f>
        <v>26</v>
      </c>
      <c r="E120" s="32">
        <f t="shared" ref="E120:P120" si="45">E119*$B$117</f>
        <v>26</v>
      </c>
      <c r="F120" s="32">
        <f t="shared" si="45"/>
        <v>20</v>
      </c>
      <c r="G120" s="32">
        <f t="shared" si="45"/>
        <v>16</v>
      </c>
      <c r="H120" s="32">
        <f t="shared" si="45"/>
        <v>26</v>
      </c>
      <c r="I120" s="32">
        <f t="shared" si="45"/>
        <v>20</v>
      </c>
      <c r="J120" s="32">
        <f t="shared" si="45"/>
        <v>16</v>
      </c>
      <c r="K120" s="32">
        <f t="shared" si="45"/>
        <v>26</v>
      </c>
      <c r="L120" s="32">
        <f t="shared" si="45"/>
        <v>20</v>
      </c>
      <c r="M120" s="32">
        <f t="shared" si="45"/>
        <v>16</v>
      </c>
      <c r="N120" s="32">
        <f t="shared" si="45"/>
        <v>26</v>
      </c>
      <c r="O120" s="32">
        <f t="shared" si="45"/>
        <v>20</v>
      </c>
      <c r="P120" s="32">
        <f t="shared" si="45"/>
        <v>16</v>
      </c>
    </row>
    <row r="121" spans="1:16" x14ac:dyDescent="0.35">
      <c r="A121" s="28" t="s">
        <v>43</v>
      </c>
      <c r="B121" s="31" t="s">
        <v>15</v>
      </c>
      <c r="C121" s="28" t="s">
        <v>52</v>
      </c>
      <c r="D121" s="30">
        <f>D119*$B$118</f>
        <v>37.44</v>
      </c>
      <c r="E121" s="30">
        <f t="shared" ref="E121:P121" si="46">E119*$B$118</f>
        <v>37.44</v>
      </c>
      <c r="F121" s="30">
        <f t="shared" si="46"/>
        <v>28.799999999999997</v>
      </c>
      <c r="G121" s="30">
        <f t="shared" si="46"/>
        <v>23.04</v>
      </c>
      <c r="H121" s="30">
        <f t="shared" si="46"/>
        <v>37.44</v>
      </c>
      <c r="I121" s="30">
        <f t="shared" si="46"/>
        <v>28.799999999999997</v>
      </c>
      <c r="J121" s="30">
        <f t="shared" si="46"/>
        <v>23.04</v>
      </c>
      <c r="K121" s="30">
        <f t="shared" si="46"/>
        <v>37.44</v>
      </c>
      <c r="L121" s="30">
        <f t="shared" si="46"/>
        <v>28.799999999999997</v>
      </c>
      <c r="M121" s="30">
        <f t="shared" si="46"/>
        <v>23.04</v>
      </c>
      <c r="N121" s="30">
        <f t="shared" si="46"/>
        <v>37.44</v>
      </c>
      <c r="O121" s="30">
        <f t="shared" si="46"/>
        <v>28.799999999999997</v>
      </c>
      <c r="P121" s="30">
        <f t="shared" si="46"/>
        <v>23.04</v>
      </c>
    </row>
    <row r="122" spans="1:16" x14ac:dyDescent="0.35">
      <c r="A122" s="28" t="s">
        <v>44</v>
      </c>
      <c r="B122" s="27">
        <v>3</v>
      </c>
      <c r="C122" s="28" t="s">
        <v>53</v>
      </c>
      <c r="D122" s="30">
        <f>D119*$B$120</f>
        <v>3640</v>
      </c>
      <c r="E122" s="30">
        <f t="shared" ref="E122:P122" si="47">E119*$B$120</f>
        <v>3640</v>
      </c>
      <c r="F122" s="30">
        <f t="shared" si="47"/>
        <v>2800</v>
      </c>
      <c r="G122" s="30">
        <f t="shared" si="47"/>
        <v>2240</v>
      </c>
      <c r="H122" s="30">
        <f t="shared" si="47"/>
        <v>3640</v>
      </c>
      <c r="I122" s="30">
        <f t="shared" si="47"/>
        <v>2800</v>
      </c>
      <c r="J122" s="30">
        <f t="shared" si="47"/>
        <v>2240</v>
      </c>
      <c r="K122" s="30">
        <f t="shared" si="47"/>
        <v>3640</v>
      </c>
      <c r="L122" s="30">
        <f t="shared" si="47"/>
        <v>2800</v>
      </c>
      <c r="M122" s="30">
        <f t="shared" si="47"/>
        <v>2240</v>
      </c>
      <c r="N122" s="30">
        <f t="shared" si="47"/>
        <v>3640</v>
      </c>
      <c r="O122" s="30">
        <f t="shared" si="47"/>
        <v>2800</v>
      </c>
      <c r="P122" s="30">
        <f t="shared" si="47"/>
        <v>2240</v>
      </c>
    </row>
    <row r="123" spans="1:16" x14ac:dyDescent="0.35">
      <c r="A123" s="28" t="s">
        <v>45</v>
      </c>
      <c r="B123" s="27">
        <v>7500</v>
      </c>
      <c r="C123" s="33" t="s">
        <v>54</v>
      </c>
      <c r="D123" s="34">
        <v>1700</v>
      </c>
      <c r="E123" s="34">
        <v>1600</v>
      </c>
      <c r="F123" s="34">
        <v>1400</v>
      </c>
      <c r="G123" s="34">
        <v>1100</v>
      </c>
      <c r="H123" s="34">
        <v>1540</v>
      </c>
      <c r="I123" s="34">
        <v>1350</v>
      </c>
      <c r="J123" s="34">
        <v>1070</v>
      </c>
      <c r="K123" s="34">
        <v>1500</v>
      </c>
      <c r="L123" s="34">
        <v>1200</v>
      </c>
      <c r="M123" s="34">
        <v>1040</v>
      </c>
      <c r="N123" s="34">
        <v>1500</v>
      </c>
      <c r="O123" s="34">
        <v>1200</v>
      </c>
      <c r="P123" s="34">
        <v>920</v>
      </c>
    </row>
    <row r="124" spans="1:16" x14ac:dyDescent="0.35">
      <c r="A124" s="28" t="s">
        <v>46</v>
      </c>
      <c r="B124" s="27">
        <v>130</v>
      </c>
      <c r="C124" s="15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 x14ac:dyDescent="0.35">
      <c r="A125" s="15"/>
      <c r="B125" s="27"/>
      <c r="C125" s="15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 ht="21" x14ac:dyDescent="0.5">
      <c r="A126" s="24" t="s">
        <v>17</v>
      </c>
      <c r="B126" s="76" t="s">
        <v>66</v>
      </c>
      <c r="C126" s="7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 x14ac:dyDescent="0.35">
      <c r="A127" s="28" t="s">
        <v>39</v>
      </c>
      <c r="B127" s="27">
        <v>1</v>
      </c>
      <c r="C127" s="29" t="s">
        <v>48</v>
      </c>
      <c r="D127" s="44">
        <v>100</v>
      </c>
      <c r="E127" s="71">
        <v>140</v>
      </c>
      <c r="F127" s="72"/>
      <c r="G127" s="73"/>
      <c r="H127" s="77">
        <v>200</v>
      </c>
      <c r="I127" s="78"/>
      <c r="J127" s="79"/>
      <c r="K127" s="71">
        <v>250</v>
      </c>
      <c r="L127" s="72"/>
      <c r="M127" s="73"/>
      <c r="N127" s="71">
        <v>300</v>
      </c>
      <c r="O127" s="72"/>
      <c r="P127" s="72"/>
    </row>
    <row r="128" spans="1:16" x14ac:dyDescent="0.35">
      <c r="A128" s="28" t="s">
        <v>40</v>
      </c>
      <c r="B128" s="27">
        <v>1.44</v>
      </c>
      <c r="C128" s="28" t="s">
        <v>49</v>
      </c>
      <c r="D128" s="27">
        <v>80</v>
      </c>
      <c r="E128" s="27">
        <v>80</v>
      </c>
      <c r="F128" s="27">
        <v>100</v>
      </c>
      <c r="G128" s="27">
        <v>130</v>
      </c>
      <c r="H128" s="27">
        <v>80</v>
      </c>
      <c r="I128" s="27">
        <v>100</v>
      </c>
      <c r="J128" s="27">
        <v>130</v>
      </c>
      <c r="K128" s="27">
        <v>80</v>
      </c>
      <c r="L128" s="27">
        <v>100</v>
      </c>
      <c r="M128" s="27">
        <v>130</v>
      </c>
      <c r="N128" s="27">
        <v>80</v>
      </c>
      <c r="O128" s="27">
        <v>100</v>
      </c>
      <c r="P128" s="27">
        <v>130</v>
      </c>
    </row>
    <row r="129" spans="1:16" x14ac:dyDescent="0.35">
      <c r="A129" s="28" t="s">
        <v>42</v>
      </c>
      <c r="B129" s="27">
        <v>65</v>
      </c>
      <c r="C129" s="28" t="s">
        <v>50</v>
      </c>
      <c r="D129" s="30">
        <f t="shared" ref="D129:P129" si="48">EVEN((1000/D128)*2)</f>
        <v>26</v>
      </c>
      <c r="E129" s="30">
        <f t="shared" si="48"/>
        <v>26</v>
      </c>
      <c r="F129" s="30">
        <f t="shared" si="48"/>
        <v>20</v>
      </c>
      <c r="G129" s="30">
        <f t="shared" si="48"/>
        <v>16</v>
      </c>
      <c r="H129" s="30">
        <f t="shared" si="48"/>
        <v>26</v>
      </c>
      <c r="I129" s="30">
        <f t="shared" si="48"/>
        <v>20</v>
      </c>
      <c r="J129" s="30">
        <f t="shared" si="48"/>
        <v>16</v>
      </c>
      <c r="K129" s="30">
        <f t="shared" si="48"/>
        <v>26</v>
      </c>
      <c r="L129" s="30">
        <f t="shared" si="48"/>
        <v>20</v>
      </c>
      <c r="M129" s="30">
        <f t="shared" si="48"/>
        <v>16</v>
      </c>
      <c r="N129" s="30">
        <f t="shared" si="48"/>
        <v>26</v>
      </c>
      <c r="O129" s="30">
        <f t="shared" si="48"/>
        <v>20</v>
      </c>
      <c r="P129" s="30">
        <f t="shared" si="48"/>
        <v>16</v>
      </c>
    </row>
    <row r="130" spans="1:16" x14ac:dyDescent="0.35">
      <c r="A130" s="28" t="s">
        <v>41</v>
      </c>
      <c r="B130" s="31">
        <v>140</v>
      </c>
      <c r="C130" s="28" t="s">
        <v>51</v>
      </c>
      <c r="D130" s="32">
        <f>D129*$B$127</f>
        <v>26</v>
      </c>
      <c r="E130" s="32">
        <f t="shared" ref="E130:P130" si="49">E129*$B$127</f>
        <v>26</v>
      </c>
      <c r="F130" s="32">
        <f t="shared" si="49"/>
        <v>20</v>
      </c>
      <c r="G130" s="32">
        <f t="shared" si="49"/>
        <v>16</v>
      </c>
      <c r="H130" s="32">
        <f t="shared" si="49"/>
        <v>26</v>
      </c>
      <c r="I130" s="32">
        <f t="shared" si="49"/>
        <v>20</v>
      </c>
      <c r="J130" s="32">
        <f t="shared" si="49"/>
        <v>16</v>
      </c>
      <c r="K130" s="32">
        <f t="shared" si="49"/>
        <v>26</v>
      </c>
      <c r="L130" s="32">
        <f t="shared" si="49"/>
        <v>20</v>
      </c>
      <c r="M130" s="32">
        <f t="shared" si="49"/>
        <v>16</v>
      </c>
      <c r="N130" s="32">
        <f t="shared" si="49"/>
        <v>26</v>
      </c>
      <c r="O130" s="32">
        <f t="shared" si="49"/>
        <v>20</v>
      </c>
      <c r="P130" s="32">
        <f t="shared" si="49"/>
        <v>16</v>
      </c>
    </row>
    <row r="131" spans="1:16" x14ac:dyDescent="0.35">
      <c r="A131" s="28" t="s">
        <v>43</v>
      </c>
      <c r="B131" s="31" t="s">
        <v>15</v>
      </c>
      <c r="C131" s="28" t="s">
        <v>52</v>
      </c>
      <c r="D131" s="30">
        <f>D129*$B$128</f>
        <v>37.44</v>
      </c>
      <c r="E131" s="30">
        <f t="shared" ref="E131:P131" si="50">E129*$B$128</f>
        <v>37.44</v>
      </c>
      <c r="F131" s="30">
        <f t="shared" si="50"/>
        <v>28.799999999999997</v>
      </c>
      <c r="G131" s="30">
        <f t="shared" si="50"/>
        <v>23.04</v>
      </c>
      <c r="H131" s="30">
        <f t="shared" si="50"/>
        <v>37.44</v>
      </c>
      <c r="I131" s="30">
        <f t="shared" si="50"/>
        <v>28.799999999999997</v>
      </c>
      <c r="J131" s="30">
        <f t="shared" si="50"/>
        <v>23.04</v>
      </c>
      <c r="K131" s="30">
        <f t="shared" si="50"/>
        <v>37.44</v>
      </c>
      <c r="L131" s="30">
        <f t="shared" si="50"/>
        <v>28.799999999999997</v>
      </c>
      <c r="M131" s="30">
        <f t="shared" si="50"/>
        <v>23.04</v>
      </c>
      <c r="N131" s="30">
        <f t="shared" si="50"/>
        <v>37.44</v>
      </c>
      <c r="O131" s="30">
        <f t="shared" si="50"/>
        <v>28.799999999999997</v>
      </c>
      <c r="P131" s="30">
        <f t="shared" si="50"/>
        <v>23.04</v>
      </c>
    </row>
    <row r="132" spans="1:16" x14ac:dyDescent="0.35">
      <c r="A132" s="28" t="s">
        <v>44</v>
      </c>
      <c r="B132" s="27">
        <v>3</v>
      </c>
      <c r="C132" s="28" t="s">
        <v>53</v>
      </c>
      <c r="D132" s="30">
        <f>D129*$B$130</f>
        <v>3640</v>
      </c>
      <c r="E132" s="30">
        <f t="shared" ref="E132:P132" si="51">E129*$B$130</f>
        <v>3640</v>
      </c>
      <c r="F132" s="30">
        <f t="shared" si="51"/>
        <v>2800</v>
      </c>
      <c r="G132" s="30">
        <f t="shared" si="51"/>
        <v>2240</v>
      </c>
      <c r="H132" s="30">
        <f t="shared" si="51"/>
        <v>3640</v>
      </c>
      <c r="I132" s="30">
        <f t="shared" si="51"/>
        <v>2800</v>
      </c>
      <c r="J132" s="30">
        <f t="shared" si="51"/>
        <v>2240</v>
      </c>
      <c r="K132" s="30">
        <f t="shared" si="51"/>
        <v>3640</v>
      </c>
      <c r="L132" s="30">
        <f t="shared" si="51"/>
        <v>2800</v>
      </c>
      <c r="M132" s="30">
        <f t="shared" si="51"/>
        <v>2240</v>
      </c>
      <c r="N132" s="30">
        <f t="shared" si="51"/>
        <v>3640</v>
      </c>
      <c r="O132" s="30">
        <f t="shared" si="51"/>
        <v>2800</v>
      </c>
      <c r="P132" s="30">
        <f t="shared" si="51"/>
        <v>2240</v>
      </c>
    </row>
    <row r="133" spans="1:16" x14ac:dyDescent="0.35">
      <c r="A133" s="28" t="s">
        <v>45</v>
      </c>
      <c r="B133" s="27">
        <v>7500</v>
      </c>
      <c r="C133" s="33" t="s">
        <v>54</v>
      </c>
      <c r="D133" s="41">
        <v>1440</v>
      </c>
      <c r="E133" s="34">
        <v>1440</v>
      </c>
      <c r="F133" s="34">
        <v>1220</v>
      </c>
      <c r="G133" s="34">
        <v>970</v>
      </c>
      <c r="H133" s="34">
        <v>1400</v>
      </c>
      <c r="I133" s="34">
        <v>1200</v>
      </c>
      <c r="J133" s="34">
        <v>970</v>
      </c>
      <c r="K133" s="34">
        <v>1350</v>
      </c>
      <c r="L133" s="34">
        <v>1120</v>
      </c>
      <c r="M133" s="34">
        <v>930</v>
      </c>
      <c r="N133" s="34">
        <v>1300</v>
      </c>
      <c r="O133" s="34">
        <v>1100</v>
      </c>
      <c r="P133" s="34">
        <v>840</v>
      </c>
    </row>
    <row r="134" spans="1:16" x14ac:dyDescent="0.35">
      <c r="A134" s="28" t="s">
        <v>46</v>
      </c>
      <c r="B134" s="27">
        <v>130</v>
      </c>
      <c r="C134" s="15"/>
      <c r="D134" s="27"/>
      <c r="E134" s="27"/>
      <c r="F134" s="30"/>
      <c r="G134" s="30"/>
      <c r="H134" s="30"/>
      <c r="I134" s="30"/>
      <c r="J134" s="30"/>
      <c r="K134" s="30"/>
      <c r="L134" s="30"/>
      <c r="M134" s="27"/>
      <c r="N134" s="27"/>
      <c r="O134" s="27"/>
      <c r="P134" s="27"/>
    </row>
    <row r="135" spans="1:16" x14ac:dyDescent="0.35">
      <c r="A135" s="15"/>
      <c r="B135" s="27"/>
      <c r="C135" s="15"/>
      <c r="D135" s="27"/>
      <c r="E135" s="27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</row>
    <row r="136" spans="1:16" ht="21" x14ac:dyDescent="0.5">
      <c r="A136" s="24" t="s">
        <v>17</v>
      </c>
      <c r="B136" s="76" t="s">
        <v>65</v>
      </c>
      <c r="C136" s="7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 x14ac:dyDescent="0.35">
      <c r="A137" s="28" t="s">
        <v>39</v>
      </c>
      <c r="B137" s="27">
        <v>1</v>
      </c>
      <c r="C137" s="29" t="s">
        <v>48</v>
      </c>
      <c r="D137" s="44">
        <v>100</v>
      </c>
      <c r="E137" s="71">
        <v>140</v>
      </c>
      <c r="F137" s="72"/>
      <c r="G137" s="73"/>
      <c r="H137" s="77">
        <v>200</v>
      </c>
      <c r="I137" s="78"/>
      <c r="J137" s="79"/>
      <c r="K137" s="71">
        <v>250</v>
      </c>
      <c r="L137" s="72"/>
      <c r="M137" s="73"/>
      <c r="N137" s="71">
        <v>300</v>
      </c>
      <c r="O137" s="72"/>
      <c r="P137" s="72"/>
    </row>
    <row r="138" spans="1:16" x14ac:dyDescent="0.35">
      <c r="A138" s="28" t="s">
        <v>40</v>
      </c>
      <c r="B138" s="27">
        <v>1.44</v>
      </c>
      <c r="C138" s="28" t="s">
        <v>49</v>
      </c>
      <c r="D138" s="27">
        <v>80</v>
      </c>
      <c r="E138" s="27">
        <v>80</v>
      </c>
      <c r="F138" s="27">
        <v>100</v>
      </c>
      <c r="G138" s="27">
        <v>130</v>
      </c>
      <c r="H138" s="27">
        <v>80</v>
      </c>
      <c r="I138" s="27">
        <v>100</v>
      </c>
      <c r="J138" s="27">
        <v>130</v>
      </c>
      <c r="K138" s="27">
        <v>80</v>
      </c>
      <c r="L138" s="27">
        <v>100</v>
      </c>
      <c r="M138" s="27">
        <v>130</v>
      </c>
      <c r="N138" s="27">
        <v>80</v>
      </c>
      <c r="O138" s="27">
        <v>100</v>
      </c>
      <c r="P138" s="27">
        <v>130</v>
      </c>
    </row>
    <row r="139" spans="1:16" x14ac:dyDescent="0.35">
      <c r="A139" s="28" t="s">
        <v>42</v>
      </c>
      <c r="B139" s="27">
        <v>65</v>
      </c>
      <c r="C139" s="28" t="s">
        <v>50</v>
      </c>
      <c r="D139" s="30">
        <f t="shared" ref="D139:P139" si="52">EVEN((1000/D138)*2)</f>
        <v>26</v>
      </c>
      <c r="E139" s="30">
        <f t="shared" si="52"/>
        <v>26</v>
      </c>
      <c r="F139" s="30">
        <f t="shared" si="52"/>
        <v>20</v>
      </c>
      <c r="G139" s="30">
        <f t="shared" si="52"/>
        <v>16</v>
      </c>
      <c r="H139" s="30">
        <f t="shared" si="52"/>
        <v>26</v>
      </c>
      <c r="I139" s="30">
        <f t="shared" si="52"/>
        <v>20</v>
      </c>
      <c r="J139" s="30">
        <f t="shared" si="52"/>
        <v>16</v>
      </c>
      <c r="K139" s="30">
        <f t="shared" si="52"/>
        <v>26</v>
      </c>
      <c r="L139" s="30">
        <f t="shared" si="52"/>
        <v>20</v>
      </c>
      <c r="M139" s="30">
        <f t="shared" si="52"/>
        <v>16</v>
      </c>
      <c r="N139" s="30">
        <f t="shared" si="52"/>
        <v>26</v>
      </c>
      <c r="O139" s="30">
        <f t="shared" si="52"/>
        <v>20</v>
      </c>
      <c r="P139" s="30">
        <f t="shared" si="52"/>
        <v>16</v>
      </c>
    </row>
    <row r="140" spans="1:16" x14ac:dyDescent="0.35">
      <c r="A140" s="28" t="s">
        <v>41</v>
      </c>
      <c r="B140" s="31">
        <v>140</v>
      </c>
      <c r="C140" s="28" t="s">
        <v>51</v>
      </c>
      <c r="D140" s="32">
        <f>D139*$B$137</f>
        <v>26</v>
      </c>
      <c r="E140" s="32">
        <f t="shared" ref="E140:P140" si="53">E139*$B$137</f>
        <v>26</v>
      </c>
      <c r="F140" s="32">
        <f t="shared" si="53"/>
        <v>20</v>
      </c>
      <c r="G140" s="32">
        <f t="shared" si="53"/>
        <v>16</v>
      </c>
      <c r="H140" s="32">
        <f t="shared" si="53"/>
        <v>26</v>
      </c>
      <c r="I140" s="32">
        <f t="shared" si="53"/>
        <v>20</v>
      </c>
      <c r="J140" s="32">
        <f t="shared" si="53"/>
        <v>16</v>
      </c>
      <c r="K140" s="32">
        <f t="shared" si="53"/>
        <v>26</v>
      </c>
      <c r="L140" s="32">
        <f t="shared" si="53"/>
        <v>20</v>
      </c>
      <c r="M140" s="32">
        <f t="shared" si="53"/>
        <v>16</v>
      </c>
      <c r="N140" s="32">
        <f t="shared" si="53"/>
        <v>26</v>
      </c>
      <c r="O140" s="32">
        <f t="shared" si="53"/>
        <v>20</v>
      </c>
      <c r="P140" s="32">
        <f t="shared" si="53"/>
        <v>16</v>
      </c>
    </row>
    <row r="141" spans="1:16" x14ac:dyDescent="0.35">
      <c r="A141" s="28" t="s">
        <v>43</v>
      </c>
      <c r="B141" s="31" t="s">
        <v>15</v>
      </c>
      <c r="C141" s="28" t="s">
        <v>52</v>
      </c>
      <c r="D141" s="30">
        <f>D139*$B$138</f>
        <v>37.44</v>
      </c>
      <c r="E141" s="30">
        <f t="shared" ref="E141:P141" si="54">E139*$B$138</f>
        <v>37.44</v>
      </c>
      <c r="F141" s="30">
        <f t="shared" si="54"/>
        <v>28.799999999999997</v>
      </c>
      <c r="G141" s="30">
        <f t="shared" si="54"/>
        <v>23.04</v>
      </c>
      <c r="H141" s="30">
        <f t="shared" si="54"/>
        <v>37.44</v>
      </c>
      <c r="I141" s="30">
        <f t="shared" si="54"/>
        <v>28.799999999999997</v>
      </c>
      <c r="J141" s="30">
        <f t="shared" si="54"/>
        <v>23.04</v>
      </c>
      <c r="K141" s="30">
        <f t="shared" si="54"/>
        <v>37.44</v>
      </c>
      <c r="L141" s="30">
        <f t="shared" si="54"/>
        <v>28.799999999999997</v>
      </c>
      <c r="M141" s="30">
        <f t="shared" si="54"/>
        <v>23.04</v>
      </c>
      <c r="N141" s="30">
        <f t="shared" si="54"/>
        <v>37.44</v>
      </c>
      <c r="O141" s="30">
        <f t="shared" si="54"/>
        <v>28.799999999999997</v>
      </c>
      <c r="P141" s="30">
        <f t="shared" si="54"/>
        <v>23.04</v>
      </c>
    </row>
    <row r="142" spans="1:16" x14ac:dyDescent="0.35">
      <c r="A142" s="28" t="s">
        <v>44</v>
      </c>
      <c r="B142" s="27">
        <v>3</v>
      </c>
      <c r="C142" s="28" t="s">
        <v>53</v>
      </c>
      <c r="D142" s="30">
        <f>D139*$B$130</f>
        <v>3640</v>
      </c>
      <c r="E142" s="30">
        <f t="shared" ref="E142:P142" si="55">E139*$B$130</f>
        <v>3640</v>
      </c>
      <c r="F142" s="30">
        <f t="shared" si="55"/>
        <v>2800</v>
      </c>
      <c r="G142" s="30">
        <f t="shared" si="55"/>
        <v>2240</v>
      </c>
      <c r="H142" s="30">
        <f t="shared" si="55"/>
        <v>3640</v>
      </c>
      <c r="I142" s="30">
        <f t="shared" si="55"/>
        <v>2800</v>
      </c>
      <c r="J142" s="30">
        <f t="shared" si="55"/>
        <v>2240</v>
      </c>
      <c r="K142" s="30">
        <f t="shared" si="55"/>
        <v>3640</v>
      </c>
      <c r="L142" s="30">
        <f t="shared" si="55"/>
        <v>2800</v>
      </c>
      <c r="M142" s="30">
        <f t="shared" si="55"/>
        <v>2240</v>
      </c>
      <c r="N142" s="30">
        <f t="shared" si="55"/>
        <v>3640</v>
      </c>
      <c r="O142" s="30">
        <f t="shared" si="55"/>
        <v>2800</v>
      </c>
      <c r="P142" s="30">
        <f t="shared" si="55"/>
        <v>2240</v>
      </c>
    </row>
    <row r="143" spans="1:16" x14ac:dyDescent="0.35">
      <c r="A143" s="28" t="s">
        <v>45</v>
      </c>
      <c r="B143" s="27">
        <v>7500</v>
      </c>
      <c r="C143" s="33" t="s">
        <v>54</v>
      </c>
      <c r="D143" s="41">
        <v>1300</v>
      </c>
      <c r="E143" s="34">
        <v>1220</v>
      </c>
      <c r="F143" s="34">
        <v>1030</v>
      </c>
      <c r="G143" s="34">
        <v>870</v>
      </c>
      <c r="H143" s="34">
        <v>1220</v>
      </c>
      <c r="I143" s="34">
        <v>1030</v>
      </c>
      <c r="J143" s="34">
        <v>870</v>
      </c>
      <c r="K143" s="34">
        <v>1200</v>
      </c>
      <c r="L143" s="34">
        <v>1000</v>
      </c>
      <c r="M143" s="34">
        <v>840</v>
      </c>
      <c r="N143" s="34">
        <v>1150</v>
      </c>
      <c r="O143" s="34">
        <v>1000</v>
      </c>
      <c r="P143" s="34">
        <v>780</v>
      </c>
    </row>
    <row r="144" spans="1:16" x14ac:dyDescent="0.35">
      <c r="A144" s="28" t="s">
        <v>46</v>
      </c>
      <c r="B144" s="27">
        <v>200</v>
      </c>
      <c r="C144" s="15"/>
      <c r="D144" s="27"/>
      <c r="E144" s="27"/>
      <c r="F144" s="30"/>
      <c r="G144" s="30"/>
      <c r="H144" s="30"/>
      <c r="I144" s="30"/>
      <c r="J144" s="30"/>
      <c r="K144" s="30"/>
      <c r="L144" s="25"/>
      <c r="M144" s="25"/>
      <c r="N144" s="25"/>
      <c r="O144" s="25"/>
      <c r="P144" s="25"/>
    </row>
    <row r="145" spans="1:16" x14ac:dyDescent="0.35">
      <c r="A145" s="15"/>
      <c r="B145" s="27"/>
      <c r="C145" s="15"/>
      <c r="D145" s="27"/>
      <c r="E145" s="27"/>
      <c r="F145" s="30"/>
      <c r="G145" s="30"/>
      <c r="H145" s="30"/>
      <c r="I145" s="30"/>
      <c r="J145" s="30"/>
      <c r="K145" s="30"/>
      <c r="L145" s="25"/>
      <c r="M145" s="25"/>
      <c r="N145" s="25"/>
      <c r="O145" s="25"/>
      <c r="P145" s="25"/>
    </row>
    <row r="146" spans="1:16" ht="21" x14ac:dyDescent="0.5">
      <c r="A146" s="24" t="s">
        <v>17</v>
      </c>
      <c r="B146" s="76" t="s">
        <v>64</v>
      </c>
      <c r="C146" s="76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35">
      <c r="A147" s="28" t="s">
        <v>39</v>
      </c>
      <c r="B147" s="27">
        <v>1</v>
      </c>
      <c r="C147" s="29" t="s">
        <v>48</v>
      </c>
      <c r="D147" s="44">
        <v>100</v>
      </c>
      <c r="E147" s="71">
        <v>140</v>
      </c>
      <c r="F147" s="72"/>
      <c r="G147" s="73"/>
      <c r="H147" s="77">
        <v>200</v>
      </c>
      <c r="I147" s="78"/>
      <c r="J147" s="79"/>
      <c r="K147" s="71">
        <v>250</v>
      </c>
      <c r="L147" s="72"/>
      <c r="M147" s="73"/>
      <c r="N147" s="71">
        <v>300</v>
      </c>
      <c r="O147" s="72"/>
      <c r="P147" s="72"/>
    </row>
    <row r="148" spans="1:16" x14ac:dyDescent="0.35">
      <c r="A148" s="28" t="s">
        <v>40</v>
      </c>
      <c r="B148" s="27">
        <v>1.44</v>
      </c>
      <c r="C148" s="28" t="s">
        <v>49</v>
      </c>
      <c r="D148" s="27">
        <v>80</v>
      </c>
      <c r="E148" s="27">
        <v>80</v>
      </c>
      <c r="F148" s="27">
        <v>100</v>
      </c>
      <c r="G148" s="27">
        <v>130</v>
      </c>
      <c r="H148" s="27">
        <v>80</v>
      </c>
      <c r="I148" s="27">
        <v>100</v>
      </c>
      <c r="J148" s="27">
        <v>130</v>
      </c>
      <c r="K148" s="27">
        <v>80</v>
      </c>
      <c r="L148" s="27">
        <v>100</v>
      </c>
      <c r="M148" s="27">
        <v>130</v>
      </c>
      <c r="N148" s="27">
        <v>80</v>
      </c>
      <c r="O148" s="27">
        <v>100</v>
      </c>
      <c r="P148" s="27">
        <v>130</v>
      </c>
    </row>
    <row r="149" spans="1:16" x14ac:dyDescent="0.35">
      <c r="A149" s="28" t="s">
        <v>42</v>
      </c>
      <c r="B149" s="27">
        <v>65</v>
      </c>
      <c r="C149" s="28" t="s">
        <v>50</v>
      </c>
      <c r="D149" s="30">
        <f t="shared" ref="D149:P149" si="56">EVEN((1000/D148)*2)</f>
        <v>26</v>
      </c>
      <c r="E149" s="30">
        <f t="shared" si="56"/>
        <v>26</v>
      </c>
      <c r="F149" s="30">
        <f t="shared" si="56"/>
        <v>20</v>
      </c>
      <c r="G149" s="30">
        <f t="shared" si="56"/>
        <v>16</v>
      </c>
      <c r="H149" s="30">
        <f t="shared" si="56"/>
        <v>26</v>
      </c>
      <c r="I149" s="30">
        <f t="shared" si="56"/>
        <v>20</v>
      </c>
      <c r="J149" s="30">
        <f t="shared" si="56"/>
        <v>16</v>
      </c>
      <c r="K149" s="30">
        <f t="shared" si="56"/>
        <v>26</v>
      </c>
      <c r="L149" s="30">
        <f t="shared" si="56"/>
        <v>20</v>
      </c>
      <c r="M149" s="30">
        <f t="shared" si="56"/>
        <v>16</v>
      </c>
      <c r="N149" s="30">
        <f t="shared" si="56"/>
        <v>26</v>
      </c>
      <c r="O149" s="30">
        <f t="shared" si="56"/>
        <v>20</v>
      </c>
      <c r="P149" s="30">
        <f t="shared" si="56"/>
        <v>16</v>
      </c>
    </row>
    <row r="150" spans="1:16" x14ac:dyDescent="0.35">
      <c r="A150" s="28" t="s">
        <v>41</v>
      </c>
      <c r="B150" s="31">
        <v>140</v>
      </c>
      <c r="C150" s="28" t="s">
        <v>51</v>
      </c>
      <c r="D150" s="32">
        <f>D149*$B$147</f>
        <v>26</v>
      </c>
      <c r="E150" s="32">
        <f t="shared" ref="E150:P150" si="57">E149*$B$147</f>
        <v>26</v>
      </c>
      <c r="F150" s="32">
        <f t="shared" si="57"/>
        <v>20</v>
      </c>
      <c r="G150" s="32">
        <f t="shared" si="57"/>
        <v>16</v>
      </c>
      <c r="H150" s="32">
        <f t="shared" si="57"/>
        <v>26</v>
      </c>
      <c r="I150" s="32">
        <f t="shared" si="57"/>
        <v>20</v>
      </c>
      <c r="J150" s="32">
        <f t="shared" si="57"/>
        <v>16</v>
      </c>
      <c r="K150" s="32">
        <f t="shared" si="57"/>
        <v>26</v>
      </c>
      <c r="L150" s="32">
        <f t="shared" si="57"/>
        <v>20</v>
      </c>
      <c r="M150" s="32">
        <f t="shared" si="57"/>
        <v>16</v>
      </c>
      <c r="N150" s="32">
        <f t="shared" si="57"/>
        <v>26</v>
      </c>
      <c r="O150" s="32">
        <f t="shared" si="57"/>
        <v>20</v>
      </c>
      <c r="P150" s="32">
        <f t="shared" si="57"/>
        <v>16</v>
      </c>
    </row>
    <row r="151" spans="1:16" x14ac:dyDescent="0.35">
      <c r="A151" s="28" t="s">
        <v>43</v>
      </c>
      <c r="B151" s="31" t="s">
        <v>15</v>
      </c>
      <c r="C151" s="28" t="s">
        <v>52</v>
      </c>
      <c r="D151" s="30">
        <f>D149*$B$148</f>
        <v>37.44</v>
      </c>
      <c r="E151" s="30">
        <f t="shared" ref="E151:P151" si="58">E149*$B$148</f>
        <v>37.44</v>
      </c>
      <c r="F151" s="30">
        <f t="shared" si="58"/>
        <v>28.799999999999997</v>
      </c>
      <c r="G151" s="30">
        <f t="shared" si="58"/>
        <v>23.04</v>
      </c>
      <c r="H151" s="30">
        <f t="shared" si="58"/>
        <v>37.44</v>
      </c>
      <c r="I151" s="30">
        <f t="shared" si="58"/>
        <v>28.799999999999997</v>
      </c>
      <c r="J151" s="30">
        <f t="shared" si="58"/>
        <v>23.04</v>
      </c>
      <c r="K151" s="30">
        <f t="shared" si="58"/>
        <v>37.44</v>
      </c>
      <c r="L151" s="30">
        <f t="shared" si="58"/>
        <v>28.799999999999997</v>
      </c>
      <c r="M151" s="30">
        <f t="shared" si="58"/>
        <v>23.04</v>
      </c>
      <c r="N151" s="30">
        <f t="shared" si="58"/>
        <v>37.44</v>
      </c>
      <c r="O151" s="30">
        <f t="shared" si="58"/>
        <v>28.799999999999997</v>
      </c>
      <c r="P151" s="30">
        <f t="shared" si="58"/>
        <v>23.04</v>
      </c>
    </row>
    <row r="152" spans="1:16" x14ac:dyDescent="0.35">
      <c r="A152" s="28" t="s">
        <v>44</v>
      </c>
      <c r="B152" s="27">
        <v>3</v>
      </c>
      <c r="C152" s="28" t="s">
        <v>53</v>
      </c>
      <c r="D152" s="30">
        <f>D149*$B$150</f>
        <v>3640</v>
      </c>
      <c r="E152" s="30">
        <f t="shared" ref="E152:P152" si="59">E149*$B$150</f>
        <v>3640</v>
      </c>
      <c r="F152" s="30">
        <f t="shared" si="59"/>
        <v>2800</v>
      </c>
      <c r="G152" s="30">
        <f t="shared" si="59"/>
        <v>2240</v>
      </c>
      <c r="H152" s="30">
        <f t="shared" si="59"/>
        <v>3640</v>
      </c>
      <c r="I152" s="30">
        <f t="shared" si="59"/>
        <v>2800</v>
      </c>
      <c r="J152" s="30">
        <f t="shared" si="59"/>
        <v>2240</v>
      </c>
      <c r="K152" s="30">
        <f t="shared" si="59"/>
        <v>3640</v>
      </c>
      <c r="L152" s="30">
        <f t="shared" si="59"/>
        <v>2800</v>
      </c>
      <c r="M152" s="30">
        <f t="shared" si="59"/>
        <v>2240</v>
      </c>
      <c r="N152" s="30">
        <f t="shared" si="59"/>
        <v>3640</v>
      </c>
      <c r="O152" s="30">
        <f t="shared" si="59"/>
        <v>2800</v>
      </c>
      <c r="P152" s="30">
        <f t="shared" si="59"/>
        <v>2240</v>
      </c>
    </row>
    <row r="153" spans="1:16" x14ac:dyDescent="0.35">
      <c r="A153" s="28" t="s">
        <v>45</v>
      </c>
      <c r="B153" s="27">
        <v>7000</v>
      </c>
      <c r="C153" s="33" t="s">
        <v>54</v>
      </c>
      <c r="D153" s="41">
        <v>1200</v>
      </c>
      <c r="E153" s="34">
        <v>1150</v>
      </c>
      <c r="F153" s="34">
        <v>1000</v>
      </c>
      <c r="G153" s="34">
        <v>800</v>
      </c>
      <c r="H153" s="34">
        <v>1100</v>
      </c>
      <c r="I153" s="34">
        <v>960</v>
      </c>
      <c r="J153" s="34">
        <v>800</v>
      </c>
      <c r="K153" s="34">
        <v>1100</v>
      </c>
      <c r="L153" s="34">
        <v>930</v>
      </c>
      <c r="M153" s="34">
        <v>760</v>
      </c>
      <c r="N153" s="34">
        <v>1050</v>
      </c>
      <c r="O153" s="34">
        <v>900</v>
      </c>
      <c r="P153" s="34">
        <v>750</v>
      </c>
    </row>
    <row r="154" spans="1:16" x14ac:dyDescent="0.35">
      <c r="A154" s="28" t="s">
        <v>46</v>
      </c>
      <c r="B154" s="27">
        <v>130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</sheetData>
  <mergeCells count="66">
    <mergeCell ref="D2:G2"/>
    <mergeCell ref="H2:K2"/>
    <mergeCell ref="L2:O2"/>
    <mergeCell ref="P2:S2"/>
    <mergeCell ref="D13:G13"/>
    <mergeCell ref="H13:K13"/>
    <mergeCell ref="L13:O13"/>
    <mergeCell ref="P13:S13"/>
    <mergeCell ref="D24:G24"/>
    <mergeCell ref="H24:K24"/>
    <mergeCell ref="L24:O24"/>
    <mergeCell ref="P24:S24"/>
    <mergeCell ref="D34:F34"/>
    <mergeCell ref="G34:J34"/>
    <mergeCell ref="K34:N34"/>
    <mergeCell ref="O34:R34"/>
    <mergeCell ref="D44:F44"/>
    <mergeCell ref="G44:J44"/>
    <mergeCell ref="K44:N44"/>
    <mergeCell ref="O44:R44"/>
    <mergeCell ref="D54:E54"/>
    <mergeCell ref="F54:I54"/>
    <mergeCell ref="J54:M54"/>
    <mergeCell ref="N54:Q54"/>
    <mergeCell ref="D84:E84"/>
    <mergeCell ref="F84:I84"/>
    <mergeCell ref="J84:M84"/>
    <mergeCell ref="N84:Q84"/>
    <mergeCell ref="D64:E64"/>
    <mergeCell ref="F64:I64"/>
    <mergeCell ref="J64:M64"/>
    <mergeCell ref="N64:Q64"/>
    <mergeCell ref="D74:E74"/>
    <mergeCell ref="F74:I74"/>
    <mergeCell ref="J74:M74"/>
    <mergeCell ref="N74:Q74"/>
    <mergeCell ref="B96:C96"/>
    <mergeCell ref="E97:G97"/>
    <mergeCell ref="H97:J97"/>
    <mergeCell ref="K97:M97"/>
    <mergeCell ref="N97:P97"/>
    <mergeCell ref="B106:C106"/>
    <mergeCell ref="E107:G107"/>
    <mergeCell ref="H107:J107"/>
    <mergeCell ref="K107:M107"/>
    <mergeCell ref="N107:P107"/>
    <mergeCell ref="B116:C116"/>
    <mergeCell ref="E117:G117"/>
    <mergeCell ref="H117:J117"/>
    <mergeCell ref="K117:M117"/>
    <mergeCell ref="N117:P117"/>
    <mergeCell ref="B126:C126"/>
    <mergeCell ref="E127:G127"/>
    <mergeCell ref="H127:J127"/>
    <mergeCell ref="K127:M127"/>
    <mergeCell ref="N127:P127"/>
    <mergeCell ref="B136:C136"/>
    <mergeCell ref="E137:G137"/>
    <mergeCell ref="H137:J137"/>
    <mergeCell ref="K137:M137"/>
    <mergeCell ref="N137:P137"/>
    <mergeCell ref="B146:C146"/>
    <mergeCell ref="E147:G147"/>
    <mergeCell ref="H147:J147"/>
    <mergeCell ref="K147:M147"/>
    <mergeCell ref="N147:P1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F0F6-8938-47A2-979F-736D034527C3}">
  <dimension ref="A1:BL69"/>
  <sheetViews>
    <sheetView topLeftCell="A25" workbookViewId="0">
      <selection activeCell="F75" sqref="F75"/>
    </sheetView>
  </sheetViews>
  <sheetFormatPr defaultRowHeight="14.5" x14ac:dyDescent="0.35"/>
  <cols>
    <col min="1" max="1" width="27.7265625" customWidth="1"/>
    <col min="3" max="3" width="23.1796875" customWidth="1"/>
  </cols>
  <sheetData>
    <row r="1" spans="1:35" ht="21" x14ac:dyDescent="0.5">
      <c r="A1" s="9" t="s">
        <v>32</v>
      </c>
      <c r="B1" s="8"/>
      <c r="C1" s="7"/>
      <c r="D1" s="8"/>
      <c r="E1" s="8"/>
      <c r="F1" s="8"/>
      <c r="G1" s="8"/>
      <c r="H1" s="8"/>
      <c r="I1" s="8"/>
      <c r="J1" s="7"/>
    </row>
    <row r="2" spans="1:35" x14ac:dyDescent="0.35">
      <c r="A2" s="28" t="s">
        <v>39</v>
      </c>
      <c r="B2" s="8">
        <v>0.28999999999999998</v>
      </c>
      <c r="C2" s="29" t="s">
        <v>48</v>
      </c>
      <c r="D2" s="12">
        <v>70</v>
      </c>
      <c r="E2" s="64">
        <v>80</v>
      </c>
      <c r="F2" s="65"/>
      <c r="G2" s="67"/>
      <c r="H2" s="64">
        <v>100</v>
      </c>
      <c r="I2" s="65"/>
      <c r="J2" s="65"/>
      <c r="K2" s="65"/>
      <c r="L2" s="67"/>
      <c r="M2" s="64">
        <v>120</v>
      </c>
      <c r="N2" s="65"/>
      <c r="O2" s="65"/>
      <c r="P2" s="65"/>
      <c r="Q2" s="64">
        <v>140</v>
      </c>
      <c r="R2" s="65"/>
      <c r="S2" s="65"/>
      <c r="T2" s="65"/>
      <c r="U2" s="64">
        <v>160</v>
      </c>
      <c r="V2" s="65"/>
      <c r="W2" s="65"/>
      <c r="X2" s="65"/>
      <c r="Y2" s="64">
        <v>180</v>
      </c>
      <c r="Z2" s="65"/>
      <c r="AA2" s="65"/>
      <c r="AB2" s="65"/>
      <c r="AC2" s="64">
        <v>200</v>
      </c>
      <c r="AD2" s="65"/>
      <c r="AE2" s="65"/>
      <c r="AF2" s="65"/>
      <c r="AG2" s="64">
        <v>250</v>
      </c>
      <c r="AH2" s="65"/>
      <c r="AI2" s="65"/>
    </row>
    <row r="3" spans="1:35" x14ac:dyDescent="0.35">
      <c r="A3" s="28" t="s">
        <v>40</v>
      </c>
      <c r="B3" s="8">
        <v>1</v>
      </c>
      <c r="C3" s="28" t="s">
        <v>57</v>
      </c>
      <c r="D3" s="10">
        <v>160</v>
      </c>
      <c r="E3" s="10">
        <v>160</v>
      </c>
      <c r="F3" s="10">
        <v>180</v>
      </c>
      <c r="G3" s="10">
        <v>200</v>
      </c>
      <c r="H3" s="10">
        <v>160</v>
      </c>
      <c r="I3" s="10">
        <v>180</v>
      </c>
      <c r="J3" s="10">
        <v>200</v>
      </c>
      <c r="K3" s="10">
        <v>220</v>
      </c>
      <c r="L3" s="10">
        <v>240</v>
      </c>
      <c r="M3" s="10">
        <v>160</v>
      </c>
      <c r="N3" s="10">
        <v>200</v>
      </c>
      <c r="O3" s="10">
        <v>240</v>
      </c>
      <c r="P3" s="10">
        <v>280</v>
      </c>
      <c r="Q3" s="10">
        <v>160</v>
      </c>
      <c r="R3" s="10">
        <v>200</v>
      </c>
      <c r="S3" s="10">
        <v>240</v>
      </c>
      <c r="T3" s="10">
        <v>280</v>
      </c>
      <c r="U3" s="10">
        <v>160</v>
      </c>
      <c r="V3" s="10">
        <v>200</v>
      </c>
      <c r="W3" s="10">
        <v>240</v>
      </c>
      <c r="X3" s="10">
        <v>280</v>
      </c>
      <c r="Y3" s="10">
        <v>160</v>
      </c>
      <c r="Z3" s="10">
        <v>200</v>
      </c>
      <c r="AA3" s="10">
        <v>240</v>
      </c>
      <c r="AB3" s="10">
        <v>280</v>
      </c>
      <c r="AC3" s="10">
        <v>160</v>
      </c>
      <c r="AD3" s="10">
        <v>200</v>
      </c>
      <c r="AE3" s="10">
        <v>240</v>
      </c>
      <c r="AF3" s="10">
        <v>280</v>
      </c>
      <c r="AG3" s="10">
        <v>160</v>
      </c>
      <c r="AH3" s="10">
        <v>200</v>
      </c>
      <c r="AI3" s="10">
        <v>240</v>
      </c>
    </row>
    <row r="4" spans="1:35" x14ac:dyDescent="0.35">
      <c r="A4" s="28" t="s">
        <v>41</v>
      </c>
      <c r="B4" s="8">
        <v>175</v>
      </c>
      <c r="C4" s="28" t="s">
        <v>58</v>
      </c>
      <c r="D4" s="10">
        <v>160</v>
      </c>
      <c r="E4" s="10">
        <v>160</v>
      </c>
      <c r="F4" s="10">
        <v>180</v>
      </c>
      <c r="G4" s="10">
        <v>200</v>
      </c>
      <c r="H4" s="10">
        <v>160</v>
      </c>
      <c r="I4" s="10">
        <v>180</v>
      </c>
      <c r="J4" s="10">
        <v>200</v>
      </c>
      <c r="K4" s="10">
        <v>220</v>
      </c>
      <c r="L4" s="10">
        <v>240</v>
      </c>
      <c r="M4" s="10">
        <v>160</v>
      </c>
      <c r="N4" s="10">
        <v>180</v>
      </c>
      <c r="O4" s="10">
        <v>200</v>
      </c>
      <c r="P4" s="10">
        <v>220</v>
      </c>
      <c r="Q4" s="10">
        <v>160</v>
      </c>
      <c r="R4" s="10">
        <v>180</v>
      </c>
      <c r="S4" s="10">
        <v>200</v>
      </c>
      <c r="T4" s="10">
        <v>220</v>
      </c>
      <c r="U4" s="10">
        <v>160</v>
      </c>
      <c r="V4" s="10">
        <v>180</v>
      </c>
      <c r="W4" s="10">
        <v>200</v>
      </c>
      <c r="X4" s="10">
        <v>220</v>
      </c>
      <c r="Y4" s="10">
        <v>160</v>
      </c>
      <c r="Z4" s="10">
        <v>180</v>
      </c>
      <c r="AA4" s="10">
        <v>200</v>
      </c>
      <c r="AB4" s="10">
        <v>220</v>
      </c>
      <c r="AC4" s="10">
        <v>160</v>
      </c>
      <c r="AD4" s="10">
        <v>180</v>
      </c>
      <c r="AE4" s="10">
        <v>200</v>
      </c>
      <c r="AF4" s="10">
        <v>220</v>
      </c>
      <c r="AG4" s="10">
        <v>160</v>
      </c>
      <c r="AH4" s="10">
        <v>180</v>
      </c>
      <c r="AI4" s="10">
        <v>200</v>
      </c>
    </row>
    <row r="5" spans="1:35" x14ac:dyDescent="0.35">
      <c r="A5" s="28" t="s">
        <v>42</v>
      </c>
      <c r="B5" s="8">
        <v>65</v>
      </c>
      <c r="C5" s="28" t="s">
        <v>50</v>
      </c>
      <c r="D5" s="22">
        <f>(1000/D3)*(1000/D4)</f>
        <v>39.0625</v>
      </c>
      <c r="E5" s="22">
        <f t="shared" ref="E5:L5" si="0">(1000/E3)*(1000/E4)</f>
        <v>39.0625</v>
      </c>
      <c r="F5" s="22">
        <f t="shared" si="0"/>
        <v>30.864197530864196</v>
      </c>
      <c r="G5" s="22">
        <f t="shared" si="0"/>
        <v>25</v>
      </c>
      <c r="H5" s="22">
        <f t="shared" ref="H5:I5" si="1">(1000/H3)*(1000/H4)</f>
        <v>39.0625</v>
      </c>
      <c r="I5" s="22">
        <f t="shared" si="1"/>
        <v>30.864197530864196</v>
      </c>
      <c r="J5" s="22">
        <f t="shared" si="0"/>
        <v>25</v>
      </c>
      <c r="K5" s="22">
        <f t="shared" si="0"/>
        <v>20.661157024793393</v>
      </c>
      <c r="L5" s="22">
        <f t="shared" si="0"/>
        <v>17.361111111111114</v>
      </c>
      <c r="M5" s="22">
        <f t="shared" ref="M5:N5" si="2">(1000/M3)*(1000/M4)</f>
        <v>39.0625</v>
      </c>
      <c r="N5" s="22">
        <f t="shared" si="2"/>
        <v>27.777777777777779</v>
      </c>
      <c r="O5" s="22">
        <f t="shared" ref="O5:R5" si="3">(1000/O3)*(1000/O4)</f>
        <v>20.833333333333336</v>
      </c>
      <c r="P5" s="22">
        <f t="shared" si="3"/>
        <v>16.233766233766236</v>
      </c>
      <c r="Q5" s="22">
        <f t="shared" si="3"/>
        <v>39.0625</v>
      </c>
      <c r="R5" s="22">
        <f t="shared" si="3"/>
        <v>27.777777777777779</v>
      </c>
      <c r="S5" s="22">
        <f t="shared" ref="S5:V5" si="4">(1000/S3)*(1000/S4)</f>
        <v>20.833333333333336</v>
      </c>
      <c r="T5" s="22">
        <f t="shared" si="4"/>
        <v>16.233766233766236</v>
      </c>
      <c r="U5" s="22">
        <f t="shared" si="4"/>
        <v>39.0625</v>
      </c>
      <c r="V5" s="22">
        <f t="shared" si="4"/>
        <v>27.777777777777779</v>
      </c>
      <c r="W5" s="22">
        <f t="shared" ref="W5:Z5" si="5">(1000/W3)*(1000/W4)</f>
        <v>20.833333333333336</v>
      </c>
      <c r="X5" s="22">
        <f t="shared" si="5"/>
        <v>16.233766233766236</v>
      </c>
      <c r="Y5" s="22">
        <f t="shared" si="5"/>
        <v>39.0625</v>
      </c>
      <c r="Z5" s="22">
        <f t="shared" si="5"/>
        <v>27.777777777777779</v>
      </c>
      <c r="AA5" s="22">
        <f t="shared" ref="AA5:AD5" si="6">(1000/AA3)*(1000/AA4)</f>
        <v>20.833333333333336</v>
      </c>
      <c r="AB5" s="22">
        <f t="shared" si="6"/>
        <v>16.233766233766236</v>
      </c>
      <c r="AC5" s="22">
        <f t="shared" si="6"/>
        <v>39.0625</v>
      </c>
      <c r="AD5" s="22">
        <f t="shared" si="6"/>
        <v>27.777777777777779</v>
      </c>
      <c r="AE5" s="22">
        <f t="shared" ref="AE5:AH5" si="7">(1000/AE3)*(1000/AE4)</f>
        <v>20.833333333333336</v>
      </c>
      <c r="AF5" s="22">
        <f t="shared" si="7"/>
        <v>16.233766233766236</v>
      </c>
      <c r="AG5" s="22">
        <f t="shared" si="7"/>
        <v>39.0625</v>
      </c>
      <c r="AH5" s="22">
        <f t="shared" si="7"/>
        <v>27.777777777777779</v>
      </c>
      <c r="AI5" s="22">
        <f t="shared" ref="AI5" si="8">(1000/AI3)*(1000/AI4)</f>
        <v>20.833333333333336</v>
      </c>
    </row>
    <row r="6" spans="1:35" x14ac:dyDescent="0.35">
      <c r="A6" s="28" t="s">
        <v>43</v>
      </c>
      <c r="B6" s="8">
        <v>160</v>
      </c>
      <c r="C6" s="28" t="s">
        <v>51</v>
      </c>
      <c r="D6" s="18">
        <f>D5*$B$32</f>
        <v>9.765625</v>
      </c>
      <c r="E6" s="18">
        <f t="shared" ref="E6:L6" si="9">E5*$B$32</f>
        <v>9.765625</v>
      </c>
      <c r="F6" s="18">
        <f t="shared" si="9"/>
        <v>7.716049382716049</v>
      </c>
      <c r="G6" s="18">
        <f t="shared" si="9"/>
        <v>6.25</v>
      </c>
      <c r="H6" s="18">
        <f t="shared" ref="H6:I6" si="10">H5*$B$32</f>
        <v>9.765625</v>
      </c>
      <c r="I6" s="18">
        <f t="shared" si="10"/>
        <v>7.716049382716049</v>
      </c>
      <c r="J6" s="18">
        <f t="shared" si="9"/>
        <v>6.25</v>
      </c>
      <c r="K6" s="18">
        <f t="shared" si="9"/>
        <v>5.1652892561983483</v>
      </c>
      <c r="L6" s="18">
        <f t="shared" si="9"/>
        <v>4.3402777777777786</v>
      </c>
      <c r="M6" s="18">
        <f t="shared" ref="M6:N6" si="11">M5*$B$32</f>
        <v>9.765625</v>
      </c>
      <c r="N6" s="18">
        <f t="shared" si="11"/>
        <v>6.9444444444444446</v>
      </c>
      <c r="O6" s="18">
        <f t="shared" ref="O6:R6" si="12">O5*$B$32</f>
        <v>5.2083333333333339</v>
      </c>
      <c r="P6" s="18">
        <f t="shared" si="12"/>
        <v>4.058441558441559</v>
      </c>
      <c r="Q6" s="18">
        <f t="shared" si="12"/>
        <v>9.765625</v>
      </c>
      <c r="R6" s="18">
        <f t="shared" si="12"/>
        <v>6.9444444444444446</v>
      </c>
      <c r="S6" s="18">
        <f t="shared" ref="S6:V6" si="13">S5*$B$32</f>
        <v>5.2083333333333339</v>
      </c>
      <c r="T6" s="18">
        <f t="shared" si="13"/>
        <v>4.058441558441559</v>
      </c>
      <c r="U6" s="18">
        <f t="shared" si="13"/>
        <v>9.765625</v>
      </c>
      <c r="V6" s="18">
        <f t="shared" si="13"/>
        <v>6.9444444444444446</v>
      </c>
      <c r="W6" s="18">
        <f t="shared" ref="W6:Z6" si="14">W5*$B$32</f>
        <v>5.2083333333333339</v>
      </c>
      <c r="X6" s="18">
        <f t="shared" si="14"/>
        <v>4.058441558441559</v>
      </c>
      <c r="Y6" s="18">
        <f t="shared" si="14"/>
        <v>9.765625</v>
      </c>
      <c r="Z6" s="18">
        <f t="shared" si="14"/>
        <v>6.9444444444444446</v>
      </c>
      <c r="AA6" s="18">
        <f t="shared" ref="AA6:AD6" si="15">AA5*$B$32</f>
        <v>5.2083333333333339</v>
      </c>
      <c r="AB6" s="18">
        <f t="shared" si="15"/>
        <v>4.058441558441559</v>
      </c>
      <c r="AC6" s="18">
        <f t="shared" si="15"/>
        <v>9.765625</v>
      </c>
      <c r="AD6" s="18">
        <f t="shared" si="15"/>
        <v>6.9444444444444446</v>
      </c>
      <c r="AE6" s="18">
        <f t="shared" ref="AE6:AH6" si="16">AE5*$B$32</f>
        <v>5.2083333333333339</v>
      </c>
      <c r="AF6" s="18">
        <f t="shared" si="16"/>
        <v>4.058441558441559</v>
      </c>
      <c r="AG6" s="18">
        <f t="shared" si="16"/>
        <v>9.765625</v>
      </c>
      <c r="AH6" s="18">
        <f t="shared" si="16"/>
        <v>6.9444444444444446</v>
      </c>
      <c r="AI6" s="18">
        <f t="shared" ref="AI6" si="17">AI5*$B$32</f>
        <v>5.2083333333333339</v>
      </c>
    </row>
    <row r="7" spans="1:35" x14ac:dyDescent="0.35">
      <c r="A7" s="28" t="s">
        <v>44</v>
      </c>
      <c r="B7" s="8">
        <v>5</v>
      </c>
      <c r="C7" s="28" t="s">
        <v>52</v>
      </c>
      <c r="D7" s="18">
        <f>D5*$B3</f>
        <v>39.0625</v>
      </c>
      <c r="E7" s="18">
        <f t="shared" ref="E7:L7" si="18">E5*$B3</f>
        <v>39.0625</v>
      </c>
      <c r="F7" s="18">
        <f t="shared" si="18"/>
        <v>30.864197530864196</v>
      </c>
      <c r="G7" s="18">
        <f t="shared" si="18"/>
        <v>25</v>
      </c>
      <c r="H7" s="18">
        <f t="shared" ref="H7:I7" si="19">H5*$B3</f>
        <v>39.0625</v>
      </c>
      <c r="I7" s="18">
        <f t="shared" si="19"/>
        <v>30.864197530864196</v>
      </c>
      <c r="J7" s="18">
        <f t="shared" si="18"/>
        <v>25</v>
      </c>
      <c r="K7" s="18">
        <f t="shared" si="18"/>
        <v>20.661157024793393</v>
      </c>
      <c r="L7" s="18">
        <f t="shared" si="18"/>
        <v>17.361111111111114</v>
      </c>
      <c r="M7" s="18">
        <f t="shared" ref="M7:N7" si="20">M5*$B3</f>
        <v>39.0625</v>
      </c>
      <c r="N7" s="18">
        <f t="shared" si="20"/>
        <v>27.777777777777779</v>
      </c>
      <c r="O7" s="18">
        <f t="shared" ref="O7:R7" si="21">O5*$B3</f>
        <v>20.833333333333336</v>
      </c>
      <c r="P7" s="18">
        <f t="shared" si="21"/>
        <v>16.233766233766236</v>
      </c>
      <c r="Q7" s="18">
        <f t="shared" si="21"/>
        <v>39.0625</v>
      </c>
      <c r="R7" s="18">
        <f t="shared" si="21"/>
        <v>27.777777777777779</v>
      </c>
      <c r="S7" s="18">
        <f t="shared" ref="S7:V7" si="22">S5*$B3</f>
        <v>20.833333333333336</v>
      </c>
      <c r="T7" s="18">
        <f t="shared" si="22"/>
        <v>16.233766233766236</v>
      </c>
      <c r="U7" s="18">
        <f t="shared" si="22"/>
        <v>39.0625</v>
      </c>
      <c r="V7" s="18">
        <f t="shared" si="22"/>
        <v>27.777777777777779</v>
      </c>
      <c r="W7" s="18">
        <f t="shared" ref="W7:Z7" si="23">W5*$B3</f>
        <v>20.833333333333336</v>
      </c>
      <c r="X7" s="18">
        <f t="shared" si="23"/>
        <v>16.233766233766236</v>
      </c>
      <c r="Y7" s="18">
        <f t="shared" si="23"/>
        <v>39.0625</v>
      </c>
      <c r="Z7" s="18">
        <f t="shared" si="23"/>
        <v>27.777777777777779</v>
      </c>
      <c r="AA7" s="18">
        <f t="shared" ref="AA7:AD7" si="24">AA5*$B3</f>
        <v>20.833333333333336</v>
      </c>
      <c r="AB7" s="18">
        <f t="shared" si="24"/>
        <v>16.233766233766236</v>
      </c>
      <c r="AC7" s="18">
        <f t="shared" si="24"/>
        <v>39.0625</v>
      </c>
      <c r="AD7" s="18">
        <f t="shared" si="24"/>
        <v>27.777777777777779</v>
      </c>
      <c r="AE7" s="18">
        <f t="shared" ref="AE7:AH7" si="25">AE5*$B3</f>
        <v>20.833333333333336</v>
      </c>
      <c r="AF7" s="18">
        <f t="shared" si="25"/>
        <v>16.233766233766236</v>
      </c>
      <c r="AG7" s="18">
        <f t="shared" si="25"/>
        <v>39.0625</v>
      </c>
      <c r="AH7" s="18">
        <f t="shared" si="25"/>
        <v>27.777777777777779</v>
      </c>
      <c r="AI7" s="18">
        <f t="shared" ref="AI7" si="26">AI5*$B3</f>
        <v>20.833333333333336</v>
      </c>
    </row>
    <row r="8" spans="1:35" x14ac:dyDescent="0.35">
      <c r="A8" s="28" t="s">
        <v>45</v>
      </c>
      <c r="B8" s="8">
        <v>6500</v>
      </c>
      <c r="C8" s="28" t="s">
        <v>53</v>
      </c>
      <c r="D8" s="13">
        <f>D5*$B4</f>
        <v>6835.9375</v>
      </c>
      <c r="E8" s="13">
        <f t="shared" ref="E8:L8" si="27">E5*$B4</f>
        <v>6835.9375</v>
      </c>
      <c r="F8" s="13">
        <f t="shared" si="27"/>
        <v>5401.2345679012342</v>
      </c>
      <c r="G8" s="13">
        <f t="shared" si="27"/>
        <v>4375</v>
      </c>
      <c r="H8" s="13">
        <f t="shared" ref="H8:I8" si="28">H5*$B4</f>
        <v>6835.9375</v>
      </c>
      <c r="I8" s="13">
        <f t="shared" si="28"/>
        <v>5401.2345679012342</v>
      </c>
      <c r="J8" s="13">
        <f t="shared" si="27"/>
        <v>4375</v>
      </c>
      <c r="K8" s="13">
        <f t="shared" si="27"/>
        <v>3615.7024793388437</v>
      </c>
      <c r="L8" s="13">
        <f t="shared" si="27"/>
        <v>3038.1944444444448</v>
      </c>
      <c r="M8" s="13">
        <f t="shared" ref="M8:N8" si="29">M5*$B4</f>
        <v>6835.9375</v>
      </c>
      <c r="N8" s="13">
        <f t="shared" si="29"/>
        <v>4861.1111111111113</v>
      </c>
      <c r="O8" s="13">
        <f t="shared" ref="O8:R8" si="30">O5*$B4</f>
        <v>3645.8333333333339</v>
      </c>
      <c r="P8" s="13">
        <f t="shared" si="30"/>
        <v>2840.9090909090914</v>
      </c>
      <c r="Q8" s="13">
        <f t="shared" si="30"/>
        <v>6835.9375</v>
      </c>
      <c r="R8" s="13">
        <f t="shared" si="30"/>
        <v>4861.1111111111113</v>
      </c>
      <c r="S8" s="13">
        <f t="shared" ref="S8:V8" si="31">S5*$B4</f>
        <v>3645.8333333333339</v>
      </c>
      <c r="T8" s="13">
        <f t="shared" si="31"/>
        <v>2840.9090909090914</v>
      </c>
      <c r="U8" s="13">
        <f t="shared" si="31"/>
        <v>6835.9375</v>
      </c>
      <c r="V8" s="13">
        <f t="shared" si="31"/>
        <v>4861.1111111111113</v>
      </c>
      <c r="W8" s="13">
        <f t="shared" ref="W8:Z8" si="32">W5*$B4</f>
        <v>3645.8333333333339</v>
      </c>
      <c r="X8" s="13">
        <f t="shared" si="32"/>
        <v>2840.9090909090914</v>
      </c>
      <c r="Y8" s="13">
        <f t="shared" si="32"/>
        <v>6835.9375</v>
      </c>
      <c r="Z8" s="13">
        <f t="shared" si="32"/>
        <v>4861.1111111111113</v>
      </c>
      <c r="AA8" s="13">
        <f t="shared" ref="AA8:AD8" si="33">AA5*$B4</f>
        <v>3645.8333333333339</v>
      </c>
      <c r="AB8" s="13">
        <f t="shared" si="33"/>
        <v>2840.9090909090914</v>
      </c>
      <c r="AC8" s="13">
        <f t="shared" si="33"/>
        <v>6835.9375</v>
      </c>
      <c r="AD8" s="13">
        <f t="shared" si="33"/>
        <v>4861.1111111111113</v>
      </c>
      <c r="AE8" s="13">
        <f t="shared" ref="AE8:AH8" si="34">AE5*$B4</f>
        <v>3645.8333333333339</v>
      </c>
      <c r="AF8" s="13">
        <f t="shared" si="34"/>
        <v>2840.9090909090914</v>
      </c>
      <c r="AG8" s="13">
        <f t="shared" si="34"/>
        <v>6835.9375</v>
      </c>
      <c r="AH8" s="13">
        <f t="shared" si="34"/>
        <v>4861.1111111111113</v>
      </c>
      <c r="AI8" s="13">
        <f t="shared" ref="AI8" si="35">AI5*$B4</f>
        <v>3645.8333333333339</v>
      </c>
    </row>
    <row r="9" spans="1:35" x14ac:dyDescent="0.35">
      <c r="A9" s="28" t="s">
        <v>46</v>
      </c>
      <c r="B9" s="8">
        <v>260</v>
      </c>
      <c r="C9" s="28" t="s">
        <v>54</v>
      </c>
      <c r="D9" s="10">
        <v>3300</v>
      </c>
      <c r="E9" s="10">
        <v>3200</v>
      </c>
      <c r="F9" s="10">
        <v>2600</v>
      </c>
      <c r="G9" s="10">
        <v>2100</v>
      </c>
      <c r="H9" s="10">
        <v>3000</v>
      </c>
      <c r="I9" s="10">
        <v>2500</v>
      </c>
      <c r="J9" s="10">
        <v>2000</v>
      </c>
      <c r="K9" s="10">
        <v>1700</v>
      </c>
      <c r="L9" s="10">
        <v>1400</v>
      </c>
      <c r="M9" s="10">
        <v>2900</v>
      </c>
      <c r="N9" s="10">
        <v>1900</v>
      </c>
      <c r="O9" s="10">
        <v>1300</v>
      </c>
      <c r="P9" s="10">
        <v>900</v>
      </c>
      <c r="Q9" s="10">
        <v>2600</v>
      </c>
      <c r="R9" s="10">
        <v>1800</v>
      </c>
      <c r="S9" s="10">
        <v>1200</v>
      </c>
      <c r="T9" s="10">
        <v>800</v>
      </c>
      <c r="U9" s="10">
        <v>2400</v>
      </c>
      <c r="V9" s="10">
        <v>1700</v>
      </c>
      <c r="W9" s="10">
        <v>1100</v>
      </c>
      <c r="X9" s="10">
        <v>750</v>
      </c>
      <c r="Y9" s="10">
        <v>2200</v>
      </c>
      <c r="Z9" s="10">
        <v>1600</v>
      </c>
      <c r="AA9" s="10">
        <v>1050</v>
      </c>
      <c r="AB9" s="10">
        <v>700</v>
      </c>
      <c r="AC9" s="10">
        <v>2100</v>
      </c>
      <c r="AD9" s="10">
        <v>1500</v>
      </c>
      <c r="AE9" s="10">
        <v>1000</v>
      </c>
      <c r="AF9" s="10">
        <v>600</v>
      </c>
      <c r="AG9" s="10">
        <v>1900</v>
      </c>
      <c r="AH9" s="10">
        <v>1250</v>
      </c>
      <c r="AI9" s="10">
        <v>900</v>
      </c>
    </row>
    <row r="11" spans="1:35" ht="21" x14ac:dyDescent="0.5">
      <c r="A11" s="9" t="s">
        <v>33</v>
      </c>
      <c r="B11" s="8"/>
      <c r="C11" s="7"/>
      <c r="D11" s="8"/>
      <c r="E11" s="8"/>
      <c r="F11" s="8"/>
      <c r="G11" s="8"/>
      <c r="H11" s="8"/>
      <c r="I11" s="8"/>
      <c r="J11" s="7"/>
    </row>
    <row r="12" spans="1:35" x14ac:dyDescent="0.35">
      <c r="A12" s="28" t="s">
        <v>39</v>
      </c>
      <c r="B12" s="8">
        <v>0.28999999999999998</v>
      </c>
      <c r="C12" s="29" t="s">
        <v>48</v>
      </c>
      <c r="D12" s="64">
        <v>100</v>
      </c>
      <c r="E12" s="65"/>
      <c r="F12" s="67"/>
      <c r="G12" s="64">
        <v>120</v>
      </c>
      <c r="H12" s="65"/>
      <c r="I12" s="67"/>
      <c r="J12" s="64">
        <v>140</v>
      </c>
      <c r="K12" s="65"/>
      <c r="L12" s="67"/>
      <c r="M12" s="64">
        <v>160</v>
      </c>
      <c r="N12" s="65"/>
      <c r="O12" s="67"/>
      <c r="P12" s="64">
        <v>180</v>
      </c>
      <c r="Q12" s="65"/>
      <c r="R12" s="67"/>
      <c r="S12" s="64">
        <v>200</v>
      </c>
      <c r="T12" s="65"/>
      <c r="U12" s="67"/>
      <c r="V12" s="64">
        <v>250</v>
      </c>
      <c r="W12" s="65"/>
      <c r="X12" s="67"/>
      <c r="Y12" s="64">
        <v>300</v>
      </c>
      <c r="Z12" s="65"/>
      <c r="AA12" s="67"/>
    </row>
    <row r="13" spans="1:35" x14ac:dyDescent="0.35">
      <c r="A13" s="28" t="s">
        <v>40</v>
      </c>
      <c r="B13" s="8">
        <v>2</v>
      </c>
      <c r="C13" s="28" t="s">
        <v>57</v>
      </c>
      <c r="D13" s="10">
        <v>200</v>
      </c>
      <c r="E13" s="10">
        <v>250</v>
      </c>
      <c r="F13" s="10">
        <v>300</v>
      </c>
      <c r="G13" s="10">
        <v>200</v>
      </c>
      <c r="H13" s="10">
        <v>250</v>
      </c>
      <c r="I13" s="10">
        <v>300</v>
      </c>
      <c r="J13" s="10">
        <v>200</v>
      </c>
      <c r="K13" s="10">
        <v>250</v>
      </c>
      <c r="L13" s="10">
        <v>300</v>
      </c>
      <c r="M13" s="10">
        <v>200</v>
      </c>
      <c r="N13" s="10">
        <v>250</v>
      </c>
      <c r="O13" s="10">
        <v>300</v>
      </c>
      <c r="P13" s="10">
        <v>200</v>
      </c>
      <c r="Q13" s="10">
        <v>250</v>
      </c>
      <c r="R13" s="10">
        <v>300</v>
      </c>
      <c r="S13" s="10">
        <v>200</v>
      </c>
      <c r="T13" s="10">
        <v>250</v>
      </c>
      <c r="U13" s="10">
        <v>300</v>
      </c>
      <c r="V13" s="10">
        <v>200</v>
      </c>
      <c r="W13" s="10">
        <v>250</v>
      </c>
      <c r="X13" s="10">
        <v>300</v>
      </c>
      <c r="Y13" s="10">
        <v>200</v>
      </c>
      <c r="Z13" s="10">
        <v>250</v>
      </c>
      <c r="AA13" s="10">
        <v>300</v>
      </c>
    </row>
    <row r="14" spans="1:35" x14ac:dyDescent="0.35">
      <c r="A14" s="28" t="s">
        <v>41</v>
      </c>
      <c r="B14" s="8">
        <v>300</v>
      </c>
      <c r="C14" s="28" t="s">
        <v>58</v>
      </c>
      <c r="D14" s="10">
        <v>200</v>
      </c>
      <c r="E14" s="10">
        <v>250</v>
      </c>
      <c r="F14" s="10">
        <v>300</v>
      </c>
      <c r="G14" s="10">
        <v>200</v>
      </c>
      <c r="H14" s="10">
        <v>250</v>
      </c>
      <c r="I14" s="10">
        <v>300</v>
      </c>
      <c r="J14" s="10">
        <v>200</v>
      </c>
      <c r="K14" s="10">
        <v>250</v>
      </c>
      <c r="L14" s="10">
        <v>300</v>
      </c>
      <c r="M14" s="10">
        <v>200</v>
      </c>
      <c r="N14" s="10">
        <v>250</v>
      </c>
      <c r="O14" s="10">
        <v>300</v>
      </c>
      <c r="P14" s="10">
        <v>200</v>
      </c>
      <c r="Q14" s="10">
        <v>250</v>
      </c>
      <c r="R14" s="10">
        <v>300</v>
      </c>
      <c r="S14" s="10">
        <v>200</v>
      </c>
      <c r="T14" s="10">
        <v>250</v>
      </c>
      <c r="U14" s="10">
        <v>300</v>
      </c>
      <c r="V14" s="10">
        <v>200</v>
      </c>
      <c r="W14" s="10">
        <v>250</v>
      </c>
      <c r="X14" s="10">
        <v>300</v>
      </c>
      <c r="Y14" s="10">
        <v>200</v>
      </c>
      <c r="Z14" s="10">
        <v>250</v>
      </c>
      <c r="AA14" s="10">
        <v>300</v>
      </c>
    </row>
    <row r="15" spans="1:35" x14ac:dyDescent="0.35">
      <c r="A15" s="28" t="s">
        <v>42</v>
      </c>
      <c r="B15" s="8">
        <v>65</v>
      </c>
      <c r="C15" s="28" t="s">
        <v>50</v>
      </c>
      <c r="D15" s="22">
        <f t="shared" ref="D15:F15" si="36">(1000/D13)*(1000/D14)</f>
        <v>25</v>
      </c>
      <c r="E15" s="22">
        <f t="shared" si="36"/>
        <v>16</v>
      </c>
      <c r="F15" s="22">
        <f t="shared" si="36"/>
        <v>11.111111111111112</v>
      </c>
      <c r="G15" s="22">
        <f t="shared" ref="G15:I15" si="37">(1000/G13)*(1000/G14)</f>
        <v>25</v>
      </c>
      <c r="H15" s="22">
        <f t="shared" si="37"/>
        <v>16</v>
      </c>
      <c r="I15" s="22">
        <f t="shared" si="37"/>
        <v>11.111111111111112</v>
      </c>
      <c r="J15" s="22">
        <f t="shared" ref="J15:O15" si="38">(1000/J13)*(1000/J14)</f>
        <v>25</v>
      </c>
      <c r="K15" s="22">
        <f t="shared" si="38"/>
        <v>16</v>
      </c>
      <c r="L15" s="22">
        <f t="shared" si="38"/>
        <v>11.111111111111112</v>
      </c>
      <c r="M15" s="22">
        <f t="shared" si="38"/>
        <v>25</v>
      </c>
      <c r="N15" s="22">
        <f t="shared" si="38"/>
        <v>16</v>
      </c>
      <c r="O15" s="22">
        <f t="shared" si="38"/>
        <v>11.111111111111112</v>
      </c>
      <c r="P15" s="22">
        <f t="shared" ref="P15:U15" si="39">(1000/P13)*(1000/P14)</f>
        <v>25</v>
      </c>
      <c r="Q15" s="22">
        <f t="shared" si="39"/>
        <v>16</v>
      </c>
      <c r="R15" s="22">
        <f t="shared" si="39"/>
        <v>11.111111111111112</v>
      </c>
      <c r="S15" s="22">
        <f t="shared" si="39"/>
        <v>25</v>
      </c>
      <c r="T15" s="22">
        <f t="shared" si="39"/>
        <v>16</v>
      </c>
      <c r="U15" s="22">
        <f t="shared" si="39"/>
        <v>11.111111111111112</v>
      </c>
      <c r="V15" s="22">
        <f t="shared" ref="V15:AA15" si="40">(1000/V13)*(1000/V14)</f>
        <v>25</v>
      </c>
      <c r="W15" s="22">
        <f t="shared" si="40"/>
        <v>16</v>
      </c>
      <c r="X15" s="22">
        <f t="shared" si="40"/>
        <v>11.111111111111112</v>
      </c>
      <c r="Y15" s="22">
        <f t="shared" si="40"/>
        <v>25</v>
      </c>
      <c r="Z15" s="22">
        <f t="shared" si="40"/>
        <v>16</v>
      </c>
      <c r="AA15" s="22">
        <f t="shared" si="40"/>
        <v>11.111111111111112</v>
      </c>
    </row>
    <row r="16" spans="1:35" x14ac:dyDescent="0.35">
      <c r="A16" s="28" t="s">
        <v>43</v>
      </c>
      <c r="B16" s="8">
        <v>175</v>
      </c>
      <c r="C16" s="28" t="s">
        <v>51</v>
      </c>
      <c r="D16" s="18">
        <f t="shared" ref="D16:F16" si="41">D15*$B$32</f>
        <v>6.25</v>
      </c>
      <c r="E16" s="18">
        <f t="shared" si="41"/>
        <v>4</v>
      </c>
      <c r="F16" s="18">
        <f t="shared" si="41"/>
        <v>2.7777777777777781</v>
      </c>
      <c r="G16" s="18">
        <f t="shared" ref="G16:I16" si="42">G15*$B$32</f>
        <v>6.25</v>
      </c>
      <c r="H16" s="18">
        <f t="shared" si="42"/>
        <v>4</v>
      </c>
      <c r="I16" s="18">
        <f t="shared" si="42"/>
        <v>2.7777777777777781</v>
      </c>
      <c r="J16" s="18">
        <f t="shared" ref="J16:O16" si="43">J15*$B$32</f>
        <v>6.25</v>
      </c>
      <c r="K16" s="18">
        <f t="shared" si="43"/>
        <v>4</v>
      </c>
      <c r="L16" s="18">
        <f t="shared" si="43"/>
        <v>2.7777777777777781</v>
      </c>
      <c r="M16" s="18">
        <f t="shared" si="43"/>
        <v>6.25</v>
      </c>
      <c r="N16" s="18">
        <f t="shared" si="43"/>
        <v>4</v>
      </c>
      <c r="O16" s="18">
        <f t="shared" si="43"/>
        <v>2.7777777777777781</v>
      </c>
      <c r="P16" s="18">
        <f t="shared" ref="P16:U16" si="44">P15*$B$32</f>
        <v>6.25</v>
      </c>
      <c r="Q16" s="18">
        <f t="shared" si="44"/>
        <v>4</v>
      </c>
      <c r="R16" s="18">
        <f t="shared" si="44"/>
        <v>2.7777777777777781</v>
      </c>
      <c r="S16" s="18">
        <f t="shared" si="44"/>
        <v>6.25</v>
      </c>
      <c r="T16" s="18">
        <f t="shared" si="44"/>
        <v>4</v>
      </c>
      <c r="U16" s="18">
        <f t="shared" si="44"/>
        <v>2.7777777777777781</v>
      </c>
      <c r="V16" s="18">
        <f t="shared" ref="V16:AA16" si="45">V15*$B$32</f>
        <v>6.25</v>
      </c>
      <c r="W16" s="18">
        <f t="shared" si="45"/>
        <v>4</v>
      </c>
      <c r="X16" s="18">
        <f t="shared" si="45"/>
        <v>2.7777777777777781</v>
      </c>
      <c r="Y16" s="18">
        <f t="shared" si="45"/>
        <v>6.25</v>
      </c>
      <c r="Z16" s="18">
        <f t="shared" si="45"/>
        <v>4</v>
      </c>
      <c r="AA16" s="18">
        <f t="shared" si="45"/>
        <v>2.7777777777777781</v>
      </c>
    </row>
    <row r="17" spans="1:64" x14ac:dyDescent="0.35">
      <c r="A17" s="28" t="s">
        <v>44</v>
      </c>
      <c r="B17" s="8">
        <v>5</v>
      </c>
      <c r="C17" s="28" t="s">
        <v>52</v>
      </c>
      <c r="D17" s="18">
        <f t="shared" ref="D17:F17" si="46">D15*$B13</f>
        <v>50</v>
      </c>
      <c r="E17" s="18">
        <f t="shared" si="46"/>
        <v>32</v>
      </c>
      <c r="F17" s="18">
        <f t="shared" si="46"/>
        <v>22.222222222222225</v>
      </c>
      <c r="G17" s="18">
        <f t="shared" ref="G17:I17" si="47">G15*$B13</f>
        <v>50</v>
      </c>
      <c r="H17" s="18">
        <f t="shared" si="47"/>
        <v>32</v>
      </c>
      <c r="I17" s="18">
        <f t="shared" si="47"/>
        <v>22.222222222222225</v>
      </c>
      <c r="J17" s="18">
        <f t="shared" ref="J17:O17" si="48">J15*$B13</f>
        <v>50</v>
      </c>
      <c r="K17" s="18">
        <f t="shared" si="48"/>
        <v>32</v>
      </c>
      <c r="L17" s="18">
        <f t="shared" si="48"/>
        <v>22.222222222222225</v>
      </c>
      <c r="M17" s="18">
        <f t="shared" si="48"/>
        <v>50</v>
      </c>
      <c r="N17" s="18">
        <f t="shared" si="48"/>
        <v>32</v>
      </c>
      <c r="O17" s="18">
        <f t="shared" si="48"/>
        <v>22.222222222222225</v>
      </c>
      <c r="P17" s="18">
        <f t="shared" ref="P17:U17" si="49">P15*$B13</f>
        <v>50</v>
      </c>
      <c r="Q17" s="18">
        <f t="shared" si="49"/>
        <v>32</v>
      </c>
      <c r="R17" s="18">
        <f t="shared" si="49"/>
        <v>22.222222222222225</v>
      </c>
      <c r="S17" s="18">
        <f t="shared" si="49"/>
        <v>50</v>
      </c>
      <c r="T17" s="18">
        <f t="shared" si="49"/>
        <v>32</v>
      </c>
      <c r="U17" s="18">
        <f t="shared" si="49"/>
        <v>22.222222222222225</v>
      </c>
      <c r="V17" s="18">
        <f t="shared" ref="V17:AA17" si="50">V15*$B13</f>
        <v>50</v>
      </c>
      <c r="W17" s="18">
        <f t="shared" si="50"/>
        <v>32</v>
      </c>
      <c r="X17" s="18">
        <f t="shared" si="50"/>
        <v>22.222222222222225</v>
      </c>
      <c r="Y17" s="18">
        <f t="shared" si="50"/>
        <v>50</v>
      </c>
      <c r="Z17" s="18">
        <f t="shared" si="50"/>
        <v>32</v>
      </c>
      <c r="AA17" s="18">
        <f t="shared" si="50"/>
        <v>22.222222222222225</v>
      </c>
    </row>
    <row r="18" spans="1:64" x14ac:dyDescent="0.35">
      <c r="A18" s="28" t="s">
        <v>45</v>
      </c>
      <c r="B18" s="8">
        <v>6500</v>
      </c>
      <c r="C18" s="28" t="s">
        <v>53</v>
      </c>
      <c r="D18" s="13">
        <f t="shared" ref="D18:F18" si="51">D15*$B14</f>
        <v>7500</v>
      </c>
      <c r="E18" s="13">
        <f t="shared" si="51"/>
        <v>4800</v>
      </c>
      <c r="F18" s="13">
        <f t="shared" si="51"/>
        <v>3333.3333333333339</v>
      </c>
      <c r="G18" s="13">
        <f t="shared" ref="G18:I18" si="52">G15*$B14</f>
        <v>7500</v>
      </c>
      <c r="H18" s="13">
        <f t="shared" si="52"/>
        <v>4800</v>
      </c>
      <c r="I18" s="13">
        <f t="shared" si="52"/>
        <v>3333.3333333333339</v>
      </c>
      <c r="J18" s="13">
        <f t="shared" ref="J18:O18" si="53">J15*$B14</f>
        <v>7500</v>
      </c>
      <c r="K18" s="13">
        <f t="shared" si="53"/>
        <v>4800</v>
      </c>
      <c r="L18" s="13">
        <f t="shared" si="53"/>
        <v>3333.3333333333339</v>
      </c>
      <c r="M18" s="13">
        <f t="shared" si="53"/>
        <v>7500</v>
      </c>
      <c r="N18" s="13">
        <f t="shared" si="53"/>
        <v>4800</v>
      </c>
      <c r="O18" s="13">
        <f t="shared" si="53"/>
        <v>3333.3333333333339</v>
      </c>
      <c r="P18" s="13">
        <f t="shared" ref="P18:U18" si="54">P15*$B14</f>
        <v>7500</v>
      </c>
      <c r="Q18" s="13">
        <f t="shared" si="54"/>
        <v>4800</v>
      </c>
      <c r="R18" s="13">
        <f t="shared" si="54"/>
        <v>3333.3333333333339</v>
      </c>
      <c r="S18" s="13">
        <f t="shared" si="54"/>
        <v>7500</v>
      </c>
      <c r="T18" s="13">
        <f t="shared" si="54"/>
        <v>4800</v>
      </c>
      <c r="U18" s="13">
        <f t="shared" si="54"/>
        <v>3333.3333333333339</v>
      </c>
      <c r="V18" s="13">
        <f t="shared" ref="V18:AA18" si="55">V15*$B14</f>
        <v>7500</v>
      </c>
      <c r="W18" s="13">
        <f t="shared" si="55"/>
        <v>4800</v>
      </c>
      <c r="X18" s="13">
        <f t="shared" si="55"/>
        <v>3333.3333333333339</v>
      </c>
      <c r="Y18" s="13">
        <f t="shared" si="55"/>
        <v>7500</v>
      </c>
      <c r="Z18" s="13">
        <f t="shared" si="55"/>
        <v>4800</v>
      </c>
      <c r="AA18" s="13">
        <f t="shared" si="55"/>
        <v>3333.3333333333339</v>
      </c>
    </row>
    <row r="19" spans="1:64" x14ac:dyDescent="0.35">
      <c r="A19" s="28" t="s">
        <v>46</v>
      </c>
      <c r="B19" s="8">
        <v>400</v>
      </c>
      <c r="C19" s="28" t="s">
        <v>54</v>
      </c>
      <c r="D19" s="10">
        <v>3500</v>
      </c>
      <c r="E19" s="10">
        <v>2150</v>
      </c>
      <c r="F19" s="10">
        <v>1350</v>
      </c>
      <c r="G19" s="10">
        <v>3350</v>
      </c>
      <c r="H19" s="10">
        <v>2070</v>
      </c>
      <c r="I19" s="10">
        <v>1275</v>
      </c>
      <c r="J19" s="10">
        <v>3200</v>
      </c>
      <c r="K19" s="10">
        <v>2000</v>
      </c>
      <c r="L19" s="10">
        <v>1200</v>
      </c>
      <c r="M19" s="10">
        <v>2950</v>
      </c>
      <c r="N19" s="10">
        <v>1950</v>
      </c>
      <c r="O19" s="10">
        <v>1100</v>
      </c>
      <c r="P19" s="10">
        <v>2700</v>
      </c>
      <c r="Q19" s="10">
        <v>1900</v>
      </c>
      <c r="R19" s="10">
        <v>1000</v>
      </c>
      <c r="S19" s="10">
        <v>2500</v>
      </c>
      <c r="T19" s="10">
        <v>1800</v>
      </c>
      <c r="U19" s="10">
        <v>950</v>
      </c>
      <c r="V19" s="10">
        <v>2100</v>
      </c>
      <c r="W19" s="10">
        <v>1500</v>
      </c>
      <c r="X19" s="10">
        <v>850</v>
      </c>
      <c r="Y19" s="10">
        <v>1700</v>
      </c>
      <c r="Z19" s="10">
        <v>1200</v>
      </c>
      <c r="AA19" s="10">
        <v>750</v>
      </c>
    </row>
    <row r="21" spans="1:64" ht="21" x14ac:dyDescent="0.5">
      <c r="A21" s="9" t="s">
        <v>34</v>
      </c>
      <c r="B21" s="8"/>
      <c r="C21" s="7"/>
    </row>
    <row r="22" spans="1:64" x14ac:dyDescent="0.35">
      <c r="A22" s="28" t="s">
        <v>39</v>
      </c>
      <c r="B22" s="8">
        <v>0.28999999999999998</v>
      </c>
      <c r="C22" s="29" t="s">
        <v>48</v>
      </c>
      <c r="D22" s="64">
        <v>150</v>
      </c>
      <c r="E22" s="65"/>
      <c r="F22" s="64">
        <v>200</v>
      </c>
      <c r="G22" s="65"/>
      <c r="H22" s="64">
        <v>250</v>
      </c>
      <c r="I22" s="65"/>
      <c r="J22" s="64">
        <v>300</v>
      </c>
      <c r="K22" s="65"/>
    </row>
    <row r="23" spans="1:64" x14ac:dyDescent="0.35">
      <c r="A23" s="28" t="s">
        <v>40</v>
      </c>
      <c r="B23" s="8">
        <v>7</v>
      </c>
      <c r="C23" s="28" t="s">
        <v>57</v>
      </c>
      <c r="D23" s="10">
        <v>330</v>
      </c>
      <c r="E23" s="10">
        <v>500</v>
      </c>
      <c r="F23" s="10">
        <v>330</v>
      </c>
      <c r="G23" s="10">
        <v>500</v>
      </c>
      <c r="H23" s="10">
        <v>330</v>
      </c>
      <c r="I23" s="10">
        <v>500</v>
      </c>
      <c r="J23" s="10">
        <v>330</v>
      </c>
      <c r="K23" s="10">
        <v>500</v>
      </c>
    </row>
    <row r="24" spans="1:64" x14ac:dyDescent="0.35">
      <c r="A24" s="28" t="s">
        <v>41</v>
      </c>
      <c r="B24" s="8">
        <v>700</v>
      </c>
      <c r="C24" s="28" t="s">
        <v>58</v>
      </c>
      <c r="D24" s="10">
        <v>330</v>
      </c>
      <c r="E24" s="10">
        <v>500</v>
      </c>
      <c r="F24" s="10">
        <v>330</v>
      </c>
      <c r="G24" s="10">
        <v>500</v>
      </c>
      <c r="H24" s="10">
        <v>330</v>
      </c>
      <c r="I24" s="10">
        <v>500</v>
      </c>
      <c r="J24" s="10">
        <v>330</v>
      </c>
      <c r="K24" s="10">
        <v>500</v>
      </c>
    </row>
    <row r="25" spans="1:64" x14ac:dyDescent="0.35">
      <c r="A25" s="28" t="s">
        <v>42</v>
      </c>
      <c r="B25" s="8">
        <v>65</v>
      </c>
      <c r="C25" s="28" t="s">
        <v>50</v>
      </c>
      <c r="D25" s="22">
        <f t="shared" ref="D25:E25" si="56">(1000/D23)*(1000/D24)</f>
        <v>9.1827364554637274</v>
      </c>
      <c r="E25" s="22">
        <f t="shared" si="56"/>
        <v>4</v>
      </c>
      <c r="F25" s="22">
        <f t="shared" ref="F25:I25" si="57">(1000/F23)*(1000/F24)</f>
        <v>9.1827364554637274</v>
      </c>
      <c r="G25" s="22">
        <f t="shared" si="57"/>
        <v>4</v>
      </c>
      <c r="H25" s="22">
        <f t="shared" si="57"/>
        <v>9.1827364554637274</v>
      </c>
      <c r="I25" s="22">
        <f t="shared" si="57"/>
        <v>4</v>
      </c>
      <c r="J25" s="22">
        <f t="shared" ref="J25:K25" si="58">(1000/J23)*(1000/J24)</f>
        <v>9.1827364554637274</v>
      </c>
      <c r="K25" s="22">
        <f t="shared" si="58"/>
        <v>4</v>
      </c>
    </row>
    <row r="26" spans="1:64" x14ac:dyDescent="0.35">
      <c r="A26" s="28" t="s">
        <v>43</v>
      </c>
      <c r="B26" s="8">
        <v>175</v>
      </c>
      <c r="C26" s="28" t="s">
        <v>51</v>
      </c>
      <c r="D26" s="18">
        <f t="shared" ref="D26:E26" si="59">D25*$B$32</f>
        <v>2.2956841138659319</v>
      </c>
      <c r="E26" s="18">
        <f t="shared" si="59"/>
        <v>1</v>
      </c>
      <c r="F26" s="18">
        <f t="shared" ref="F26:I26" si="60">F25*$B$32</f>
        <v>2.2956841138659319</v>
      </c>
      <c r="G26" s="18">
        <f t="shared" si="60"/>
        <v>1</v>
      </c>
      <c r="H26" s="18">
        <f t="shared" si="60"/>
        <v>2.2956841138659319</v>
      </c>
      <c r="I26" s="18">
        <f t="shared" si="60"/>
        <v>1</v>
      </c>
      <c r="J26" s="18">
        <f t="shared" ref="J26:K26" si="61">J25*$B$32</f>
        <v>2.2956841138659319</v>
      </c>
      <c r="K26" s="18">
        <f t="shared" si="61"/>
        <v>1</v>
      </c>
    </row>
    <row r="27" spans="1:64" x14ac:dyDescent="0.35">
      <c r="A27" s="28" t="s">
        <v>44</v>
      </c>
      <c r="B27" s="8">
        <v>5</v>
      </c>
      <c r="C27" s="28" t="s">
        <v>52</v>
      </c>
      <c r="D27" s="18">
        <f t="shared" ref="D27:E27" si="62">D25*$B23</f>
        <v>64.279155188246094</v>
      </c>
      <c r="E27" s="18">
        <f t="shared" si="62"/>
        <v>28</v>
      </c>
      <c r="F27" s="18">
        <f t="shared" ref="F27:I27" si="63">F25*$B23</f>
        <v>64.279155188246094</v>
      </c>
      <c r="G27" s="18">
        <f t="shared" si="63"/>
        <v>28</v>
      </c>
      <c r="H27" s="18">
        <f t="shared" si="63"/>
        <v>64.279155188246094</v>
      </c>
      <c r="I27" s="18">
        <f t="shared" si="63"/>
        <v>28</v>
      </c>
      <c r="J27" s="18">
        <f t="shared" ref="J27:K27" si="64">J25*$B23</f>
        <v>64.279155188246094</v>
      </c>
      <c r="K27" s="18">
        <f t="shared" si="64"/>
        <v>28</v>
      </c>
    </row>
    <row r="28" spans="1:64" x14ac:dyDescent="0.35">
      <c r="A28" s="28" t="s">
        <v>45</v>
      </c>
      <c r="B28" s="8">
        <v>6500</v>
      </c>
      <c r="C28" s="28" t="s">
        <v>53</v>
      </c>
      <c r="D28" s="13">
        <f t="shared" ref="D28:E28" si="65">D25*$B24</f>
        <v>6427.9155188246095</v>
      </c>
      <c r="E28" s="13">
        <f t="shared" si="65"/>
        <v>2800</v>
      </c>
      <c r="F28" s="13">
        <f t="shared" ref="F28:I28" si="66">F25*$B24</f>
        <v>6427.9155188246095</v>
      </c>
      <c r="G28" s="13">
        <f t="shared" si="66"/>
        <v>2800</v>
      </c>
      <c r="H28" s="13">
        <f t="shared" si="66"/>
        <v>6427.9155188246095</v>
      </c>
      <c r="I28" s="13">
        <f t="shared" si="66"/>
        <v>2800</v>
      </c>
      <c r="J28" s="13">
        <f t="shared" ref="J28:K28" si="67">J25*$B24</f>
        <v>6427.9155188246095</v>
      </c>
      <c r="K28" s="13">
        <f t="shared" si="67"/>
        <v>2800</v>
      </c>
    </row>
    <row r="29" spans="1:64" x14ac:dyDescent="0.35">
      <c r="A29" s="28" t="s">
        <v>46</v>
      </c>
      <c r="B29" s="8">
        <v>500</v>
      </c>
      <c r="C29" s="28" t="s">
        <v>54</v>
      </c>
      <c r="D29" s="10">
        <v>3500</v>
      </c>
      <c r="E29" s="10">
        <v>1500</v>
      </c>
      <c r="F29" s="10">
        <v>2800</v>
      </c>
      <c r="G29" s="10">
        <v>1300</v>
      </c>
      <c r="H29" s="10">
        <v>2400</v>
      </c>
      <c r="I29" s="10">
        <v>1100</v>
      </c>
      <c r="J29" s="10">
        <v>2000</v>
      </c>
      <c r="K29" s="10">
        <v>800</v>
      </c>
    </row>
    <row r="31" spans="1:64" ht="21" x14ac:dyDescent="0.5">
      <c r="A31" s="47" t="s">
        <v>35</v>
      </c>
      <c r="B31" s="27"/>
      <c r="C31" s="15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</row>
    <row r="32" spans="1:64" x14ac:dyDescent="0.35">
      <c r="A32" s="28" t="s">
        <v>39</v>
      </c>
      <c r="B32" s="27">
        <v>0.25</v>
      </c>
      <c r="C32" s="29" t="s">
        <v>48</v>
      </c>
      <c r="D32" s="45">
        <v>90</v>
      </c>
      <c r="E32" s="68">
        <v>100</v>
      </c>
      <c r="F32" s="70"/>
      <c r="G32" s="68">
        <v>120</v>
      </c>
      <c r="H32" s="69"/>
      <c r="I32" s="69"/>
      <c r="J32" s="70"/>
      <c r="K32" s="68">
        <v>140</v>
      </c>
      <c r="L32" s="69"/>
      <c r="M32" s="69"/>
      <c r="N32" s="69"/>
      <c r="O32" s="70"/>
      <c r="P32" s="68">
        <v>160</v>
      </c>
      <c r="Q32" s="69"/>
      <c r="R32" s="69"/>
      <c r="S32" s="69"/>
      <c r="T32" s="70"/>
      <c r="U32" s="68">
        <v>180</v>
      </c>
      <c r="V32" s="69"/>
      <c r="W32" s="69"/>
      <c r="X32" s="69"/>
      <c r="Y32" s="70"/>
      <c r="Z32" s="68">
        <v>200</v>
      </c>
      <c r="AA32" s="69"/>
      <c r="AB32" s="69"/>
      <c r="AC32" s="69"/>
      <c r="AD32" s="70"/>
      <c r="AE32" s="68">
        <v>250</v>
      </c>
      <c r="AF32" s="69"/>
      <c r="AG32" s="69"/>
      <c r="AH32" s="69"/>
      <c r="AI32" s="70"/>
      <c r="AJ32" s="68">
        <v>300</v>
      </c>
      <c r="AK32" s="69"/>
      <c r="AL32" s="69"/>
      <c r="AM32" s="69"/>
      <c r="AN32" s="70"/>
    </row>
    <row r="33" spans="1:43" x14ac:dyDescent="0.35">
      <c r="A33" s="28" t="s">
        <v>40</v>
      </c>
      <c r="B33" s="27">
        <v>1.44</v>
      </c>
      <c r="C33" s="28" t="s">
        <v>57</v>
      </c>
      <c r="D33" s="25">
        <v>160</v>
      </c>
      <c r="E33" s="25">
        <v>160</v>
      </c>
      <c r="F33" s="25">
        <v>180</v>
      </c>
      <c r="G33" s="25">
        <v>160</v>
      </c>
      <c r="H33" s="25">
        <v>180</v>
      </c>
      <c r="I33" s="25">
        <v>200</v>
      </c>
      <c r="J33" s="25">
        <v>220</v>
      </c>
      <c r="K33" s="25">
        <v>160</v>
      </c>
      <c r="L33" s="25">
        <v>180</v>
      </c>
      <c r="M33" s="25">
        <v>200</v>
      </c>
      <c r="N33" s="25">
        <v>220</v>
      </c>
      <c r="O33" s="25">
        <v>240</v>
      </c>
      <c r="P33" s="25">
        <v>160</v>
      </c>
      <c r="Q33" s="25">
        <v>180</v>
      </c>
      <c r="R33" s="25">
        <v>200</v>
      </c>
      <c r="S33" s="25">
        <v>220</v>
      </c>
      <c r="T33" s="25">
        <v>240</v>
      </c>
      <c r="U33" s="25">
        <v>160</v>
      </c>
      <c r="V33" s="25">
        <v>180</v>
      </c>
      <c r="W33" s="25">
        <v>200</v>
      </c>
      <c r="X33" s="25">
        <v>220</v>
      </c>
      <c r="Y33" s="25">
        <v>240</v>
      </c>
      <c r="Z33" s="25">
        <v>160</v>
      </c>
      <c r="AA33" s="25">
        <v>180</v>
      </c>
      <c r="AB33" s="25">
        <v>200</v>
      </c>
      <c r="AC33" s="25">
        <v>220</v>
      </c>
      <c r="AD33" s="25">
        <v>240</v>
      </c>
      <c r="AE33" s="25">
        <v>160</v>
      </c>
      <c r="AF33" s="25">
        <v>180</v>
      </c>
      <c r="AG33" s="25">
        <v>200</v>
      </c>
      <c r="AH33" s="25">
        <v>220</v>
      </c>
      <c r="AI33" s="25">
        <v>240</v>
      </c>
      <c r="AJ33" s="25">
        <v>160</v>
      </c>
      <c r="AK33" s="25">
        <v>180</v>
      </c>
      <c r="AL33" s="25">
        <v>200</v>
      </c>
      <c r="AM33" s="25">
        <v>220</v>
      </c>
      <c r="AN33" s="25">
        <v>240</v>
      </c>
    </row>
    <row r="34" spans="1:43" x14ac:dyDescent="0.35">
      <c r="A34" s="28" t="s">
        <v>41</v>
      </c>
      <c r="B34" s="27">
        <v>224</v>
      </c>
      <c r="C34" s="28" t="s">
        <v>58</v>
      </c>
      <c r="D34" s="25">
        <v>160</v>
      </c>
      <c r="E34" s="25">
        <v>160</v>
      </c>
      <c r="F34" s="25">
        <v>180</v>
      </c>
      <c r="G34" s="25">
        <v>160</v>
      </c>
      <c r="H34" s="25">
        <v>180</v>
      </c>
      <c r="I34" s="25">
        <v>200</v>
      </c>
      <c r="J34" s="25">
        <v>220</v>
      </c>
      <c r="K34" s="25">
        <v>160</v>
      </c>
      <c r="L34" s="25">
        <v>180</v>
      </c>
      <c r="M34" s="25">
        <v>200</v>
      </c>
      <c r="N34" s="25">
        <v>220</v>
      </c>
      <c r="O34" s="25">
        <v>240</v>
      </c>
      <c r="P34" s="25">
        <v>160</v>
      </c>
      <c r="Q34" s="25">
        <v>180</v>
      </c>
      <c r="R34" s="25">
        <v>200</v>
      </c>
      <c r="S34" s="25">
        <v>220</v>
      </c>
      <c r="T34" s="25">
        <v>240</v>
      </c>
      <c r="U34" s="25">
        <v>160</v>
      </c>
      <c r="V34" s="25">
        <v>180</v>
      </c>
      <c r="W34" s="25">
        <v>200</v>
      </c>
      <c r="X34" s="25">
        <v>220</v>
      </c>
      <c r="Y34" s="25">
        <v>240</v>
      </c>
      <c r="Z34" s="25">
        <v>160</v>
      </c>
      <c r="AA34" s="25">
        <v>180</v>
      </c>
      <c r="AB34" s="25">
        <v>200</v>
      </c>
      <c r="AC34" s="25">
        <v>220</v>
      </c>
      <c r="AD34" s="25">
        <v>240</v>
      </c>
      <c r="AE34" s="25">
        <v>160</v>
      </c>
      <c r="AF34" s="25">
        <v>180</v>
      </c>
      <c r="AG34" s="25">
        <v>200</v>
      </c>
      <c r="AH34" s="25">
        <v>220</v>
      </c>
      <c r="AI34" s="25">
        <v>240</v>
      </c>
      <c r="AJ34" s="25">
        <v>160</v>
      </c>
      <c r="AK34" s="25">
        <v>180</v>
      </c>
      <c r="AL34" s="25">
        <v>200</v>
      </c>
      <c r="AM34" s="25">
        <v>220</v>
      </c>
      <c r="AN34" s="25">
        <v>240</v>
      </c>
    </row>
    <row r="35" spans="1:43" x14ac:dyDescent="0.35">
      <c r="A35" s="28" t="s">
        <v>42</v>
      </c>
      <c r="B35" s="27">
        <v>66</v>
      </c>
      <c r="C35" s="28" t="s">
        <v>50</v>
      </c>
      <c r="D35" s="30">
        <f t="shared" ref="D35:O35" si="68">ROUND((1000/D33),)^2</f>
        <v>36</v>
      </c>
      <c r="E35" s="30">
        <f t="shared" si="68"/>
        <v>36</v>
      </c>
      <c r="F35" s="30">
        <f t="shared" si="68"/>
        <v>36</v>
      </c>
      <c r="G35" s="30">
        <f t="shared" si="68"/>
        <v>36</v>
      </c>
      <c r="H35" s="30">
        <f t="shared" si="68"/>
        <v>36</v>
      </c>
      <c r="I35" s="30">
        <f t="shared" si="68"/>
        <v>25</v>
      </c>
      <c r="J35" s="30">
        <f t="shared" si="68"/>
        <v>25</v>
      </c>
      <c r="K35" s="30">
        <f t="shared" si="68"/>
        <v>36</v>
      </c>
      <c r="L35" s="30">
        <f t="shared" si="68"/>
        <v>36</v>
      </c>
      <c r="M35" s="30">
        <f t="shared" si="68"/>
        <v>25</v>
      </c>
      <c r="N35" s="30">
        <f t="shared" si="68"/>
        <v>25</v>
      </c>
      <c r="O35" s="30">
        <f t="shared" si="68"/>
        <v>16</v>
      </c>
      <c r="P35" s="30">
        <f t="shared" ref="P35:T35" si="69">ROUND((1000/P33),)^2</f>
        <v>36</v>
      </c>
      <c r="Q35" s="30">
        <f t="shared" si="69"/>
        <v>36</v>
      </c>
      <c r="R35" s="30">
        <f t="shared" si="69"/>
        <v>25</v>
      </c>
      <c r="S35" s="30">
        <f t="shared" si="69"/>
        <v>25</v>
      </c>
      <c r="T35" s="30">
        <f t="shared" si="69"/>
        <v>16</v>
      </c>
      <c r="U35" s="30">
        <f t="shared" ref="U35:Y35" si="70">ROUND((1000/U33),)^2</f>
        <v>36</v>
      </c>
      <c r="V35" s="30">
        <f t="shared" si="70"/>
        <v>36</v>
      </c>
      <c r="W35" s="30">
        <f t="shared" si="70"/>
        <v>25</v>
      </c>
      <c r="X35" s="30">
        <f t="shared" si="70"/>
        <v>25</v>
      </c>
      <c r="Y35" s="30">
        <f t="shared" si="70"/>
        <v>16</v>
      </c>
      <c r="Z35" s="30">
        <f t="shared" ref="Z35:AD35" si="71">ROUND((1000/Z33),)^2</f>
        <v>36</v>
      </c>
      <c r="AA35" s="30">
        <f t="shared" si="71"/>
        <v>36</v>
      </c>
      <c r="AB35" s="30">
        <f t="shared" si="71"/>
        <v>25</v>
      </c>
      <c r="AC35" s="30">
        <f t="shared" si="71"/>
        <v>25</v>
      </c>
      <c r="AD35" s="30">
        <f t="shared" si="71"/>
        <v>16</v>
      </c>
      <c r="AE35" s="30">
        <f t="shared" ref="AE35:AI35" si="72">ROUND((1000/AE33),)^2</f>
        <v>36</v>
      </c>
      <c r="AF35" s="30">
        <f t="shared" si="72"/>
        <v>36</v>
      </c>
      <c r="AG35" s="30">
        <f t="shared" si="72"/>
        <v>25</v>
      </c>
      <c r="AH35" s="30">
        <f t="shared" si="72"/>
        <v>25</v>
      </c>
      <c r="AI35" s="30">
        <f t="shared" si="72"/>
        <v>16</v>
      </c>
      <c r="AJ35" s="30">
        <f t="shared" ref="AJ35:AN35" si="73">ROUND((1000/AJ33),)^2</f>
        <v>36</v>
      </c>
      <c r="AK35" s="30">
        <f t="shared" si="73"/>
        <v>36</v>
      </c>
      <c r="AL35" s="30">
        <f t="shared" si="73"/>
        <v>25</v>
      </c>
      <c r="AM35" s="30">
        <f t="shared" si="73"/>
        <v>25</v>
      </c>
      <c r="AN35" s="30">
        <f t="shared" si="73"/>
        <v>16</v>
      </c>
    </row>
    <row r="36" spans="1:43" x14ac:dyDescent="0.35">
      <c r="A36" s="28" t="s">
        <v>43</v>
      </c>
      <c r="B36" s="27">
        <v>165</v>
      </c>
      <c r="C36" s="28" t="s">
        <v>51</v>
      </c>
      <c r="D36" s="26">
        <f t="shared" ref="D36:O36" si="74">D35*$B$103</f>
        <v>0</v>
      </c>
      <c r="E36" s="26">
        <f t="shared" si="74"/>
        <v>0</v>
      </c>
      <c r="F36" s="26">
        <f t="shared" si="74"/>
        <v>0</v>
      </c>
      <c r="G36" s="26">
        <f t="shared" si="74"/>
        <v>0</v>
      </c>
      <c r="H36" s="26">
        <f t="shared" si="74"/>
        <v>0</v>
      </c>
      <c r="I36" s="26">
        <f t="shared" si="74"/>
        <v>0</v>
      </c>
      <c r="J36" s="26">
        <f t="shared" si="74"/>
        <v>0</v>
      </c>
      <c r="K36" s="26">
        <f t="shared" si="74"/>
        <v>0</v>
      </c>
      <c r="L36" s="26">
        <f t="shared" si="74"/>
        <v>0</v>
      </c>
      <c r="M36" s="26">
        <f t="shared" si="74"/>
        <v>0</v>
      </c>
      <c r="N36" s="26">
        <f t="shared" si="74"/>
        <v>0</v>
      </c>
      <c r="O36" s="26">
        <f t="shared" si="74"/>
        <v>0</v>
      </c>
      <c r="P36" s="26">
        <f t="shared" ref="P36:T36" si="75">P35*$B$103</f>
        <v>0</v>
      </c>
      <c r="Q36" s="26">
        <f t="shared" si="75"/>
        <v>0</v>
      </c>
      <c r="R36" s="26">
        <f t="shared" si="75"/>
        <v>0</v>
      </c>
      <c r="S36" s="26">
        <f t="shared" si="75"/>
        <v>0</v>
      </c>
      <c r="T36" s="26">
        <f t="shared" si="75"/>
        <v>0</v>
      </c>
      <c r="U36" s="26">
        <f t="shared" ref="U36:Y36" si="76">U35*$B$103</f>
        <v>0</v>
      </c>
      <c r="V36" s="26">
        <f t="shared" si="76"/>
        <v>0</v>
      </c>
      <c r="W36" s="26">
        <f t="shared" si="76"/>
        <v>0</v>
      </c>
      <c r="X36" s="26">
        <f t="shared" si="76"/>
        <v>0</v>
      </c>
      <c r="Y36" s="26">
        <f t="shared" si="76"/>
        <v>0</v>
      </c>
      <c r="Z36" s="26">
        <f t="shared" ref="Z36:AD36" si="77">Z35*$B$103</f>
        <v>0</v>
      </c>
      <c r="AA36" s="26">
        <f t="shared" si="77"/>
        <v>0</v>
      </c>
      <c r="AB36" s="26">
        <f t="shared" si="77"/>
        <v>0</v>
      </c>
      <c r="AC36" s="26">
        <f t="shared" si="77"/>
        <v>0</v>
      </c>
      <c r="AD36" s="26">
        <f t="shared" si="77"/>
        <v>0</v>
      </c>
      <c r="AE36" s="26">
        <f t="shared" ref="AE36:AI36" si="78">AE35*$B$103</f>
        <v>0</v>
      </c>
      <c r="AF36" s="26">
        <f t="shared" si="78"/>
        <v>0</v>
      </c>
      <c r="AG36" s="26">
        <f t="shared" si="78"/>
        <v>0</v>
      </c>
      <c r="AH36" s="26">
        <f t="shared" si="78"/>
        <v>0</v>
      </c>
      <c r="AI36" s="26">
        <f t="shared" si="78"/>
        <v>0</v>
      </c>
      <c r="AJ36" s="26">
        <f t="shared" ref="AJ36:AN36" si="79">AJ35*$B$103</f>
        <v>0</v>
      </c>
      <c r="AK36" s="26">
        <f t="shared" si="79"/>
        <v>0</v>
      </c>
      <c r="AL36" s="26">
        <f t="shared" si="79"/>
        <v>0</v>
      </c>
      <c r="AM36" s="26">
        <f t="shared" si="79"/>
        <v>0</v>
      </c>
      <c r="AN36" s="26">
        <f t="shared" si="79"/>
        <v>0</v>
      </c>
    </row>
    <row r="37" spans="1:43" x14ac:dyDescent="0.35">
      <c r="A37" s="28" t="s">
        <v>44</v>
      </c>
      <c r="B37" s="27">
        <v>5</v>
      </c>
      <c r="C37" s="28" t="s">
        <v>52</v>
      </c>
      <c r="D37" s="26">
        <f t="shared" ref="D37:O37" si="80">D35*$B33</f>
        <v>51.839999999999996</v>
      </c>
      <c r="E37" s="26">
        <f t="shared" si="80"/>
        <v>51.839999999999996</v>
      </c>
      <c r="F37" s="26">
        <f t="shared" si="80"/>
        <v>51.839999999999996</v>
      </c>
      <c r="G37" s="26">
        <f t="shared" si="80"/>
        <v>51.839999999999996</v>
      </c>
      <c r="H37" s="26">
        <f t="shared" si="80"/>
        <v>51.839999999999996</v>
      </c>
      <c r="I37" s="26">
        <f t="shared" si="80"/>
        <v>36</v>
      </c>
      <c r="J37" s="26">
        <f t="shared" si="80"/>
        <v>36</v>
      </c>
      <c r="K37" s="26">
        <f t="shared" si="80"/>
        <v>51.839999999999996</v>
      </c>
      <c r="L37" s="26">
        <f t="shared" si="80"/>
        <v>51.839999999999996</v>
      </c>
      <c r="M37" s="26">
        <f t="shared" si="80"/>
        <v>36</v>
      </c>
      <c r="N37" s="26">
        <f t="shared" si="80"/>
        <v>36</v>
      </c>
      <c r="O37" s="26">
        <f t="shared" si="80"/>
        <v>23.04</v>
      </c>
      <c r="P37" s="26">
        <f t="shared" ref="P37:T37" si="81">P35*$B33</f>
        <v>51.839999999999996</v>
      </c>
      <c r="Q37" s="26">
        <f t="shared" si="81"/>
        <v>51.839999999999996</v>
      </c>
      <c r="R37" s="26">
        <f t="shared" si="81"/>
        <v>36</v>
      </c>
      <c r="S37" s="26">
        <f t="shared" si="81"/>
        <v>36</v>
      </c>
      <c r="T37" s="26">
        <f t="shared" si="81"/>
        <v>23.04</v>
      </c>
      <c r="U37" s="26">
        <f t="shared" ref="U37:Y37" si="82">U35*$B33</f>
        <v>51.839999999999996</v>
      </c>
      <c r="V37" s="26">
        <f t="shared" si="82"/>
        <v>51.839999999999996</v>
      </c>
      <c r="W37" s="26">
        <f t="shared" si="82"/>
        <v>36</v>
      </c>
      <c r="X37" s="26">
        <f t="shared" si="82"/>
        <v>36</v>
      </c>
      <c r="Y37" s="26">
        <f t="shared" si="82"/>
        <v>23.04</v>
      </c>
      <c r="Z37" s="26">
        <f t="shared" ref="Z37:AD37" si="83">Z35*$B33</f>
        <v>51.839999999999996</v>
      </c>
      <c r="AA37" s="26">
        <f t="shared" si="83"/>
        <v>51.839999999999996</v>
      </c>
      <c r="AB37" s="26">
        <f t="shared" si="83"/>
        <v>36</v>
      </c>
      <c r="AC37" s="26">
        <f t="shared" si="83"/>
        <v>36</v>
      </c>
      <c r="AD37" s="26">
        <f t="shared" si="83"/>
        <v>23.04</v>
      </c>
      <c r="AE37" s="26">
        <f t="shared" ref="AE37:AI37" si="84">AE35*$B33</f>
        <v>51.839999999999996</v>
      </c>
      <c r="AF37" s="26">
        <f t="shared" si="84"/>
        <v>51.839999999999996</v>
      </c>
      <c r="AG37" s="26">
        <f t="shared" si="84"/>
        <v>36</v>
      </c>
      <c r="AH37" s="26">
        <f t="shared" si="84"/>
        <v>36</v>
      </c>
      <c r="AI37" s="26">
        <f t="shared" si="84"/>
        <v>23.04</v>
      </c>
      <c r="AJ37" s="26">
        <f t="shared" ref="AJ37:AN37" si="85">AJ35*$B33</f>
        <v>51.839999999999996</v>
      </c>
      <c r="AK37" s="26">
        <f t="shared" si="85"/>
        <v>51.839999999999996</v>
      </c>
      <c r="AL37" s="26">
        <f t="shared" si="85"/>
        <v>36</v>
      </c>
      <c r="AM37" s="26">
        <f t="shared" si="85"/>
        <v>36</v>
      </c>
      <c r="AN37" s="26">
        <f t="shared" si="85"/>
        <v>23.04</v>
      </c>
    </row>
    <row r="38" spans="1:43" x14ac:dyDescent="0.35">
      <c r="A38" s="28" t="s">
        <v>45</v>
      </c>
      <c r="B38" s="27">
        <v>6500</v>
      </c>
      <c r="C38" s="28" t="s">
        <v>53</v>
      </c>
      <c r="D38" s="26">
        <f t="shared" ref="D38:O38" si="86">D35*$B34</f>
        <v>8064</v>
      </c>
      <c r="E38" s="26">
        <f t="shared" si="86"/>
        <v>8064</v>
      </c>
      <c r="F38" s="26">
        <f t="shared" si="86"/>
        <v>8064</v>
      </c>
      <c r="G38" s="26">
        <f t="shared" si="86"/>
        <v>8064</v>
      </c>
      <c r="H38" s="26">
        <f t="shared" si="86"/>
        <v>8064</v>
      </c>
      <c r="I38" s="26">
        <f t="shared" si="86"/>
        <v>5600</v>
      </c>
      <c r="J38" s="26">
        <f t="shared" si="86"/>
        <v>5600</v>
      </c>
      <c r="K38" s="26">
        <f t="shared" si="86"/>
        <v>8064</v>
      </c>
      <c r="L38" s="26">
        <f t="shared" si="86"/>
        <v>8064</v>
      </c>
      <c r="M38" s="26">
        <f t="shared" si="86"/>
        <v>5600</v>
      </c>
      <c r="N38" s="26">
        <f t="shared" si="86"/>
        <v>5600</v>
      </c>
      <c r="O38" s="26">
        <f t="shared" si="86"/>
        <v>3584</v>
      </c>
      <c r="P38" s="26">
        <f t="shared" ref="P38:T38" si="87">P35*$B34</f>
        <v>8064</v>
      </c>
      <c r="Q38" s="26">
        <f t="shared" si="87"/>
        <v>8064</v>
      </c>
      <c r="R38" s="26">
        <f t="shared" si="87"/>
        <v>5600</v>
      </c>
      <c r="S38" s="26">
        <f t="shared" si="87"/>
        <v>5600</v>
      </c>
      <c r="T38" s="26">
        <f t="shared" si="87"/>
        <v>3584</v>
      </c>
      <c r="U38" s="26">
        <f t="shared" ref="U38:Y38" si="88">U35*$B34</f>
        <v>8064</v>
      </c>
      <c r="V38" s="26">
        <f t="shared" si="88"/>
        <v>8064</v>
      </c>
      <c r="W38" s="26">
        <f t="shared" si="88"/>
        <v>5600</v>
      </c>
      <c r="X38" s="26">
        <f t="shared" si="88"/>
        <v>5600</v>
      </c>
      <c r="Y38" s="26">
        <f t="shared" si="88"/>
        <v>3584</v>
      </c>
      <c r="Z38" s="26">
        <f t="shared" ref="Z38:AD38" si="89">Z35*$B34</f>
        <v>8064</v>
      </c>
      <c r="AA38" s="26">
        <f t="shared" si="89"/>
        <v>8064</v>
      </c>
      <c r="AB38" s="26">
        <f t="shared" si="89"/>
        <v>5600</v>
      </c>
      <c r="AC38" s="26">
        <f t="shared" si="89"/>
        <v>5600</v>
      </c>
      <c r="AD38" s="26">
        <f t="shared" si="89"/>
        <v>3584</v>
      </c>
      <c r="AE38" s="26">
        <f t="shared" ref="AE38:AI38" si="90">AE35*$B34</f>
        <v>8064</v>
      </c>
      <c r="AF38" s="26">
        <f t="shared" si="90"/>
        <v>8064</v>
      </c>
      <c r="AG38" s="26">
        <f t="shared" si="90"/>
        <v>5600</v>
      </c>
      <c r="AH38" s="26">
        <f t="shared" si="90"/>
        <v>5600</v>
      </c>
      <c r="AI38" s="26">
        <f t="shared" si="90"/>
        <v>3584</v>
      </c>
      <c r="AJ38" s="26">
        <f t="shared" ref="AJ38:AN38" si="91">AJ35*$B34</f>
        <v>8064</v>
      </c>
      <c r="AK38" s="26">
        <f t="shared" si="91"/>
        <v>8064</v>
      </c>
      <c r="AL38" s="26">
        <f t="shared" si="91"/>
        <v>5600</v>
      </c>
      <c r="AM38" s="26">
        <f t="shared" si="91"/>
        <v>5600</v>
      </c>
      <c r="AN38" s="26">
        <f t="shared" si="91"/>
        <v>3584</v>
      </c>
    </row>
    <row r="39" spans="1:43" x14ac:dyDescent="0.35">
      <c r="A39" s="28" t="s">
        <v>46</v>
      </c>
      <c r="B39" s="27">
        <v>340</v>
      </c>
      <c r="C39" s="28" t="s">
        <v>54</v>
      </c>
      <c r="D39" s="25">
        <v>4200</v>
      </c>
      <c r="E39" s="25">
        <v>4000</v>
      </c>
      <c r="F39" s="25">
        <v>3450</v>
      </c>
      <c r="G39" s="25">
        <v>3800</v>
      </c>
      <c r="H39" s="25">
        <v>3250</v>
      </c>
      <c r="I39" s="25">
        <v>2750</v>
      </c>
      <c r="J39" s="25">
        <v>1800</v>
      </c>
      <c r="K39" s="25">
        <v>3600</v>
      </c>
      <c r="L39" s="25">
        <v>3100</v>
      </c>
      <c r="M39" s="25">
        <v>2600</v>
      </c>
      <c r="N39" s="25">
        <v>2150</v>
      </c>
      <c r="O39" s="25">
        <v>1700</v>
      </c>
      <c r="P39" s="25">
        <v>3400</v>
      </c>
      <c r="Q39" s="25">
        <v>2950</v>
      </c>
      <c r="R39" s="25">
        <v>2500</v>
      </c>
      <c r="S39" s="25">
        <v>2050</v>
      </c>
      <c r="T39" s="25">
        <v>1600</v>
      </c>
      <c r="U39" s="25">
        <v>3200</v>
      </c>
      <c r="V39" s="25">
        <v>2800</v>
      </c>
      <c r="W39" s="25">
        <v>2350</v>
      </c>
      <c r="X39" s="25">
        <v>1900</v>
      </c>
      <c r="Y39" s="25">
        <v>1550</v>
      </c>
      <c r="Z39" s="25">
        <v>3100</v>
      </c>
      <c r="AA39" s="25">
        <v>2750</v>
      </c>
      <c r="AB39" s="25">
        <v>2400</v>
      </c>
      <c r="AC39" s="25">
        <v>1950</v>
      </c>
      <c r="AD39" s="25">
        <v>1500</v>
      </c>
      <c r="AE39" s="25">
        <v>2600</v>
      </c>
      <c r="AF39" s="25">
        <v>2300</v>
      </c>
      <c r="AG39" s="25">
        <v>2000</v>
      </c>
      <c r="AH39" s="25">
        <v>1675</v>
      </c>
      <c r="AI39" s="25">
        <v>1350</v>
      </c>
      <c r="AJ39" s="25">
        <v>2200</v>
      </c>
      <c r="AK39" s="25">
        <v>1950</v>
      </c>
      <c r="AL39" s="25">
        <v>1700</v>
      </c>
      <c r="AM39" s="25">
        <v>1450</v>
      </c>
      <c r="AN39" s="25">
        <v>1150</v>
      </c>
    </row>
    <row r="41" spans="1:43" ht="21" x14ac:dyDescent="0.5">
      <c r="A41" s="47" t="s">
        <v>36</v>
      </c>
      <c r="B41" s="27"/>
      <c r="C41" s="15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15"/>
      <c r="AB41" s="15"/>
    </row>
    <row r="42" spans="1:43" x14ac:dyDescent="0.35">
      <c r="A42" s="28" t="s">
        <v>39</v>
      </c>
      <c r="B42" s="27">
        <v>0.15</v>
      </c>
      <c r="C42" s="29" t="s">
        <v>48</v>
      </c>
      <c r="D42" s="45">
        <v>80</v>
      </c>
      <c r="E42" s="69">
        <v>90</v>
      </c>
      <c r="F42" s="70"/>
      <c r="G42" s="68">
        <v>100</v>
      </c>
      <c r="H42" s="69"/>
      <c r="I42" s="70"/>
      <c r="J42" s="68">
        <v>120</v>
      </c>
      <c r="K42" s="69"/>
      <c r="L42" s="69"/>
      <c r="M42" s="70"/>
      <c r="N42" s="68">
        <v>140</v>
      </c>
      <c r="O42" s="69"/>
      <c r="P42" s="69"/>
      <c r="Q42" s="69"/>
      <c r="R42" s="70"/>
      <c r="S42" s="68">
        <v>160</v>
      </c>
      <c r="T42" s="69"/>
      <c r="U42" s="69"/>
      <c r="V42" s="69"/>
      <c r="W42" s="70"/>
      <c r="X42" s="68">
        <v>180</v>
      </c>
      <c r="Y42" s="69"/>
      <c r="Z42" s="69"/>
      <c r="AA42" s="69"/>
      <c r="AB42" s="70"/>
      <c r="AC42" s="68">
        <v>200</v>
      </c>
      <c r="AD42" s="69"/>
      <c r="AE42" s="69"/>
      <c r="AF42" s="69"/>
      <c r="AG42" s="70"/>
      <c r="AH42" s="68">
        <v>250</v>
      </c>
      <c r="AI42" s="69"/>
      <c r="AJ42" s="69"/>
      <c r="AK42" s="69"/>
      <c r="AL42" s="70"/>
      <c r="AM42" s="68">
        <v>300</v>
      </c>
      <c r="AN42" s="69"/>
      <c r="AO42" s="69"/>
      <c r="AP42" s="69"/>
      <c r="AQ42" s="70"/>
    </row>
    <row r="43" spans="1:43" x14ac:dyDescent="0.35">
      <c r="A43" s="28" t="s">
        <v>40</v>
      </c>
      <c r="B43" s="27">
        <v>1</v>
      </c>
      <c r="C43" s="28" t="s">
        <v>57</v>
      </c>
      <c r="D43" s="25">
        <v>140</v>
      </c>
      <c r="E43" s="25">
        <v>160</v>
      </c>
      <c r="F43" s="25">
        <v>180</v>
      </c>
      <c r="G43" s="25">
        <v>160</v>
      </c>
      <c r="H43" s="25">
        <v>180</v>
      </c>
      <c r="I43" s="25">
        <v>200</v>
      </c>
      <c r="J43" s="25">
        <v>160</v>
      </c>
      <c r="K43" s="25">
        <v>180</v>
      </c>
      <c r="L43" s="25">
        <v>200</v>
      </c>
      <c r="M43" s="25">
        <v>220</v>
      </c>
      <c r="N43" s="25">
        <v>160</v>
      </c>
      <c r="O43" s="25">
        <v>180</v>
      </c>
      <c r="P43" s="25">
        <v>200</v>
      </c>
      <c r="Q43" s="25">
        <v>220</v>
      </c>
      <c r="R43" s="25">
        <v>240</v>
      </c>
      <c r="S43" s="25">
        <v>160</v>
      </c>
      <c r="T43" s="25">
        <v>180</v>
      </c>
      <c r="U43" s="25">
        <v>200</v>
      </c>
      <c r="V43" s="25">
        <v>220</v>
      </c>
      <c r="W43" s="25">
        <v>240</v>
      </c>
      <c r="X43" s="25">
        <v>160</v>
      </c>
      <c r="Y43" s="25">
        <v>180</v>
      </c>
      <c r="Z43" s="25">
        <v>200</v>
      </c>
      <c r="AA43" s="25">
        <v>220</v>
      </c>
      <c r="AB43" s="25">
        <v>240</v>
      </c>
      <c r="AC43" s="25">
        <v>160</v>
      </c>
      <c r="AD43" s="25">
        <v>180</v>
      </c>
      <c r="AE43" s="25">
        <v>200</v>
      </c>
      <c r="AF43" s="25">
        <v>220</v>
      </c>
      <c r="AG43" s="25">
        <v>240</v>
      </c>
      <c r="AH43" s="25">
        <v>160</v>
      </c>
      <c r="AI43" s="25">
        <v>180</v>
      </c>
      <c r="AJ43" s="25">
        <v>200</v>
      </c>
      <c r="AK43" s="25">
        <v>220</v>
      </c>
      <c r="AL43" s="25">
        <v>240</v>
      </c>
      <c r="AM43" s="25">
        <v>160</v>
      </c>
      <c r="AN43" s="25">
        <v>180</v>
      </c>
      <c r="AO43" s="25">
        <v>200</v>
      </c>
      <c r="AP43" s="25">
        <v>220</v>
      </c>
      <c r="AQ43" s="25">
        <v>240</v>
      </c>
    </row>
    <row r="44" spans="1:43" x14ac:dyDescent="0.35">
      <c r="A44" s="28" t="s">
        <v>41</v>
      </c>
      <c r="B44" s="27">
        <v>168</v>
      </c>
      <c r="C44" s="28" t="s">
        <v>58</v>
      </c>
      <c r="D44" s="25">
        <v>140</v>
      </c>
      <c r="E44" s="25">
        <v>140</v>
      </c>
      <c r="F44" s="25">
        <v>160</v>
      </c>
      <c r="G44" s="25">
        <v>140</v>
      </c>
      <c r="H44" s="25">
        <v>160</v>
      </c>
      <c r="I44" s="25">
        <v>180</v>
      </c>
      <c r="J44" s="25">
        <v>140</v>
      </c>
      <c r="K44" s="25">
        <v>160</v>
      </c>
      <c r="L44" s="25">
        <v>180</v>
      </c>
      <c r="M44" s="25">
        <v>200</v>
      </c>
      <c r="N44" s="25">
        <v>140</v>
      </c>
      <c r="O44" s="25">
        <v>160</v>
      </c>
      <c r="P44" s="25">
        <v>180</v>
      </c>
      <c r="Q44" s="25">
        <v>200</v>
      </c>
      <c r="R44" s="25">
        <v>220</v>
      </c>
      <c r="S44" s="25">
        <v>140</v>
      </c>
      <c r="T44" s="25">
        <v>160</v>
      </c>
      <c r="U44" s="25">
        <v>180</v>
      </c>
      <c r="V44" s="25">
        <v>200</v>
      </c>
      <c r="W44" s="25">
        <v>220</v>
      </c>
      <c r="X44" s="25">
        <v>140</v>
      </c>
      <c r="Y44" s="25">
        <v>160</v>
      </c>
      <c r="Z44" s="25">
        <v>180</v>
      </c>
      <c r="AA44" s="25">
        <v>200</v>
      </c>
      <c r="AB44" s="25">
        <v>220</v>
      </c>
      <c r="AC44" s="25">
        <v>140</v>
      </c>
      <c r="AD44" s="25">
        <v>160</v>
      </c>
      <c r="AE44" s="25">
        <v>180</v>
      </c>
      <c r="AF44" s="25">
        <v>200</v>
      </c>
      <c r="AG44" s="25">
        <v>220</v>
      </c>
      <c r="AH44" s="25">
        <v>140</v>
      </c>
      <c r="AI44" s="25">
        <v>160</v>
      </c>
      <c r="AJ44" s="25">
        <v>180</v>
      </c>
      <c r="AK44" s="25">
        <v>200</v>
      </c>
      <c r="AL44" s="25">
        <v>220</v>
      </c>
      <c r="AM44" s="25">
        <v>140</v>
      </c>
      <c r="AN44" s="25">
        <v>160</v>
      </c>
      <c r="AO44" s="25">
        <v>180</v>
      </c>
      <c r="AP44" s="25">
        <v>200</v>
      </c>
      <c r="AQ44" s="25">
        <v>220</v>
      </c>
    </row>
    <row r="45" spans="1:43" x14ac:dyDescent="0.35">
      <c r="A45" s="28" t="s">
        <v>42</v>
      </c>
      <c r="B45" s="27">
        <v>66</v>
      </c>
      <c r="C45" s="28" t="s">
        <v>50</v>
      </c>
      <c r="D45" s="30">
        <f>ROUND((1000/D43),)^2</f>
        <v>49</v>
      </c>
      <c r="E45" s="30">
        <f t="shared" ref="E45:R45" si="92">ROUND((1000/E43),)^2</f>
        <v>36</v>
      </c>
      <c r="F45" s="30">
        <f t="shared" si="92"/>
        <v>36</v>
      </c>
      <c r="G45" s="30">
        <f>ROUND((1000/G43),)^2</f>
        <v>36</v>
      </c>
      <c r="H45" s="30">
        <f>ROUND((1000/H43),)^2</f>
        <v>36</v>
      </c>
      <c r="I45" s="30">
        <f>ROUND((1000/I43),)^2</f>
        <v>25</v>
      </c>
      <c r="J45" s="30">
        <f t="shared" si="92"/>
        <v>36</v>
      </c>
      <c r="K45" s="30">
        <f t="shared" si="92"/>
        <v>36</v>
      </c>
      <c r="L45" s="30">
        <f t="shared" si="92"/>
        <v>25</v>
      </c>
      <c r="M45" s="30">
        <f t="shared" si="92"/>
        <v>25</v>
      </c>
      <c r="N45" s="30">
        <f t="shared" si="92"/>
        <v>36</v>
      </c>
      <c r="O45" s="30">
        <f t="shared" si="92"/>
        <v>36</v>
      </c>
      <c r="P45" s="30">
        <f t="shared" si="92"/>
        <v>25</v>
      </c>
      <c r="Q45" s="30">
        <f t="shared" si="92"/>
        <v>25</v>
      </c>
      <c r="R45" s="30">
        <f t="shared" si="92"/>
        <v>16</v>
      </c>
      <c r="S45" s="30">
        <f t="shared" ref="S45:W45" si="93">ROUND((1000/S43),)^2</f>
        <v>36</v>
      </c>
      <c r="T45" s="30">
        <f t="shared" si="93"/>
        <v>36</v>
      </c>
      <c r="U45" s="30">
        <f t="shared" si="93"/>
        <v>25</v>
      </c>
      <c r="V45" s="30">
        <f t="shared" si="93"/>
        <v>25</v>
      </c>
      <c r="W45" s="30">
        <f t="shared" si="93"/>
        <v>16</v>
      </c>
      <c r="X45" s="30">
        <f t="shared" ref="X45:AB45" si="94">ROUND((1000/X43),)^2</f>
        <v>36</v>
      </c>
      <c r="Y45" s="30">
        <f t="shared" si="94"/>
        <v>36</v>
      </c>
      <c r="Z45" s="30">
        <f t="shared" si="94"/>
        <v>25</v>
      </c>
      <c r="AA45" s="30">
        <f t="shared" si="94"/>
        <v>25</v>
      </c>
      <c r="AB45" s="30">
        <f t="shared" si="94"/>
        <v>16</v>
      </c>
      <c r="AC45" s="30">
        <f t="shared" ref="AC45:AG45" si="95">ROUND((1000/AC43),)^2</f>
        <v>36</v>
      </c>
      <c r="AD45" s="30">
        <f t="shared" si="95"/>
        <v>36</v>
      </c>
      <c r="AE45" s="30">
        <f t="shared" si="95"/>
        <v>25</v>
      </c>
      <c r="AF45" s="30">
        <f t="shared" si="95"/>
        <v>25</v>
      </c>
      <c r="AG45" s="30">
        <f t="shared" si="95"/>
        <v>16</v>
      </c>
      <c r="AH45" s="30">
        <f t="shared" ref="AH45:AL45" si="96">ROUND((1000/AH43),)^2</f>
        <v>36</v>
      </c>
      <c r="AI45" s="30">
        <f t="shared" si="96"/>
        <v>36</v>
      </c>
      <c r="AJ45" s="30">
        <f t="shared" si="96"/>
        <v>25</v>
      </c>
      <c r="AK45" s="30">
        <f t="shared" si="96"/>
        <v>25</v>
      </c>
      <c r="AL45" s="30">
        <f t="shared" si="96"/>
        <v>16</v>
      </c>
      <c r="AM45" s="30">
        <f t="shared" ref="AM45:AQ45" si="97">ROUND((1000/AM43),)^2</f>
        <v>36</v>
      </c>
      <c r="AN45" s="30">
        <f t="shared" si="97"/>
        <v>36</v>
      </c>
      <c r="AO45" s="30">
        <f t="shared" si="97"/>
        <v>25</v>
      </c>
      <c r="AP45" s="30">
        <f t="shared" si="97"/>
        <v>25</v>
      </c>
      <c r="AQ45" s="30">
        <f t="shared" si="97"/>
        <v>16</v>
      </c>
    </row>
    <row r="46" spans="1:43" x14ac:dyDescent="0.35">
      <c r="A46" s="28" t="s">
        <v>43</v>
      </c>
      <c r="B46" s="27">
        <v>165</v>
      </c>
      <c r="C46" s="28" t="s">
        <v>51</v>
      </c>
      <c r="D46" s="26">
        <f t="shared" ref="D46:R46" si="98">D45*$B$93</f>
        <v>0</v>
      </c>
      <c r="E46" s="26">
        <f t="shared" si="98"/>
        <v>0</v>
      </c>
      <c r="F46" s="26">
        <f t="shared" si="98"/>
        <v>0</v>
      </c>
      <c r="G46" s="26">
        <f t="shared" si="98"/>
        <v>0</v>
      </c>
      <c r="H46" s="26">
        <f t="shared" si="98"/>
        <v>0</v>
      </c>
      <c r="I46" s="26">
        <f t="shared" si="98"/>
        <v>0</v>
      </c>
      <c r="J46" s="26">
        <f t="shared" si="98"/>
        <v>0</v>
      </c>
      <c r="K46" s="26">
        <f t="shared" si="98"/>
        <v>0</v>
      </c>
      <c r="L46" s="26">
        <f t="shared" si="98"/>
        <v>0</v>
      </c>
      <c r="M46" s="26">
        <f t="shared" si="98"/>
        <v>0</v>
      </c>
      <c r="N46" s="26">
        <f t="shared" si="98"/>
        <v>0</v>
      </c>
      <c r="O46" s="26">
        <f t="shared" si="98"/>
        <v>0</v>
      </c>
      <c r="P46" s="26">
        <f t="shared" si="98"/>
        <v>0</v>
      </c>
      <c r="Q46" s="26">
        <f t="shared" si="98"/>
        <v>0</v>
      </c>
      <c r="R46" s="26">
        <f t="shared" si="98"/>
        <v>0</v>
      </c>
      <c r="S46" s="26">
        <f t="shared" ref="S46:W46" si="99">S45*$B$93</f>
        <v>0</v>
      </c>
      <c r="T46" s="26">
        <f t="shared" si="99"/>
        <v>0</v>
      </c>
      <c r="U46" s="26">
        <f t="shared" si="99"/>
        <v>0</v>
      </c>
      <c r="V46" s="26">
        <f t="shared" si="99"/>
        <v>0</v>
      </c>
      <c r="W46" s="26">
        <f t="shared" si="99"/>
        <v>0</v>
      </c>
      <c r="X46" s="26">
        <f t="shared" ref="X46:AB46" si="100">X45*$B$93</f>
        <v>0</v>
      </c>
      <c r="Y46" s="26">
        <f t="shared" si="100"/>
        <v>0</v>
      </c>
      <c r="Z46" s="26">
        <f t="shared" si="100"/>
        <v>0</v>
      </c>
      <c r="AA46" s="26">
        <f t="shared" si="100"/>
        <v>0</v>
      </c>
      <c r="AB46" s="26">
        <f t="shared" si="100"/>
        <v>0</v>
      </c>
      <c r="AC46" s="26">
        <f t="shared" ref="AC46:AG46" si="101">AC45*$B$93</f>
        <v>0</v>
      </c>
      <c r="AD46" s="26">
        <f t="shared" si="101"/>
        <v>0</v>
      </c>
      <c r="AE46" s="26">
        <f t="shared" si="101"/>
        <v>0</v>
      </c>
      <c r="AF46" s="26">
        <f t="shared" si="101"/>
        <v>0</v>
      </c>
      <c r="AG46" s="26">
        <f t="shared" si="101"/>
        <v>0</v>
      </c>
      <c r="AH46" s="26">
        <f t="shared" ref="AH46:AL46" si="102">AH45*$B$93</f>
        <v>0</v>
      </c>
      <c r="AI46" s="26">
        <f t="shared" si="102"/>
        <v>0</v>
      </c>
      <c r="AJ46" s="26">
        <f t="shared" si="102"/>
        <v>0</v>
      </c>
      <c r="AK46" s="26">
        <f t="shared" si="102"/>
        <v>0</v>
      </c>
      <c r="AL46" s="26">
        <f t="shared" si="102"/>
        <v>0</v>
      </c>
      <c r="AM46" s="26">
        <f t="shared" ref="AM46:AQ46" si="103">AM45*$B$93</f>
        <v>0</v>
      </c>
      <c r="AN46" s="26">
        <f t="shared" si="103"/>
        <v>0</v>
      </c>
      <c r="AO46" s="26">
        <f t="shared" si="103"/>
        <v>0</v>
      </c>
      <c r="AP46" s="26">
        <f t="shared" si="103"/>
        <v>0</v>
      </c>
      <c r="AQ46" s="26">
        <f t="shared" si="103"/>
        <v>0</v>
      </c>
    </row>
    <row r="47" spans="1:43" x14ac:dyDescent="0.35">
      <c r="A47" s="28" t="s">
        <v>44</v>
      </c>
      <c r="B47" s="27">
        <v>5</v>
      </c>
      <c r="C47" s="28" t="s">
        <v>52</v>
      </c>
      <c r="D47" s="26">
        <f>D45*$B43</f>
        <v>49</v>
      </c>
      <c r="E47" s="26">
        <f t="shared" ref="E47:R47" si="104">E45*$B43</f>
        <v>36</v>
      </c>
      <c r="F47" s="26">
        <f t="shared" si="104"/>
        <v>36</v>
      </c>
      <c r="G47" s="26">
        <f t="shared" si="104"/>
        <v>36</v>
      </c>
      <c r="H47" s="26">
        <f t="shared" si="104"/>
        <v>36</v>
      </c>
      <c r="I47" s="26">
        <f t="shared" si="104"/>
        <v>25</v>
      </c>
      <c r="J47" s="26">
        <f t="shared" si="104"/>
        <v>36</v>
      </c>
      <c r="K47" s="26">
        <f t="shared" si="104"/>
        <v>36</v>
      </c>
      <c r="L47" s="26">
        <f t="shared" si="104"/>
        <v>25</v>
      </c>
      <c r="M47" s="26">
        <f t="shared" si="104"/>
        <v>25</v>
      </c>
      <c r="N47" s="26">
        <f t="shared" si="104"/>
        <v>36</v>
      </c>
      <c r="O47" s="26">
        <f t="shared" si="104"/>
        <v>36</v>
      </c>
      <c r="P47" s="26">
        <f t="shared" si="104"/>
        <v>25</v>
      </c>
      <c r="Q47" s="26">
        <f t="shared" si="104"/>
        <v>25</v>
      </c>
      <c r="R47" s="26">
        <f t="shared" si="104"/>
        <v>16</v>
      </c>
      <c r="S47" s="26">
        <f t="shared" ref="S47:W47" si="105">S45*$B43</f>
        <v>36</v>
      </c>
      <c r="T47" s="26">
        <f t="shared" si="105"/>
        <v>36</v>
      </c>
      <c r="U47" s="26">
        <f t="shared" si="105"/>
        <v>25</v>
      </c>
      <c r="V47" s="26">
        <f t="shared" si="105"/>
        <v>25</v>
      </c>
      <c r="W47" s="26">
        <f t="shared" si="105"/>
        <v>16</v>
      </c>
      <c r="X47" s="26">
        <f t="shared" ref="X47:AB47" si="106">X45*$B43</f>
        <v>36</v>
      </c>
      <c r="Y47" s="26">
        <f t="shared" si="106"/>
        <v>36</v>
      </c>
      <c r="Z47" s="26">
        <f t="shared" si="106"/>
        <v>25</v>
      </c>
      <c r="AA47" s="26">
        <f t="shared" si="106"/>
        <v>25</v>
      </c>
      <c r="AB47" s="26">
        <f t="shared" si="106"/>
        <v>16</v>
      </c>
      <c r="AC47" s="26">
        <f t="shared" ref="AC47:AG47" si="107">AC45*$B43</f>
        <v>36</v>
      </c>
      <c r="AD47" s="26">
        <f t="shared" si="107"/>
        <v>36</v>
      </c>
      <c r="AE47" s="26">
        <f t="shared" si="107"/>
        <v>25</v>
      </c>
      <c r="AF47" s="26">
        <f t="shared" si="107"/>
        <v>25</v>
      </c>
      <c r="AG47" s="26">
        <f t="shared" si="107"/>
        <v>16</v>
      </c>
      <c r="AH47" s="26">
        <f t="shared" ref="AH47:AL47" si="108">AH45*$B43</f>
        <v>36</v>
      </c>
      <c r="AI47" s="26">
        <f t="shared" si="108"/>
        <v>36</v>
      </c>
      <c r="AJ47" s="26">
        <f t="shared" si="108"/>
        <v>25</v>
      </c>
      <c r="AK47" s="26">
        <f t="shared" si="108"/>
        <v>25</v>
      </c>
      <c r="AL47" s="26">
        <f t="shared" si="108"/>
        <v>16</v>
      </c>
      <c r="AM47" s="26">
        <f t="shared" ref="AM47:AQ47" si="109">AM45*$B43</f>
        <v>36</v>
      </c>
      <c r="AN47" s="26">
        <f t="shared" si="109"/>
        <v>36</v>
      </c>
      <c r="AO47" s="26">
        <f t="shared" si="109"/>
        <v>25</v>
      </c>
      <c r="AP47" s="26">
        <f t="shared" si="109"/>
        <v>25</v>
      </c>
      <c r="AQ47" s="26">
        <f t="shared" si="109"/>
        <v>16</v>
      </c>
    </row>
    <row r="48" spans="1:43" x14ac:dyDescent="0.35">
      <c r="A48" s="28" t="s">
        <v>45</v>
      </c>
      <c r="B48" s="27">
        <v>6500</v>
      </c>
      <c r="C48" s="28" t="s">
        <v>53</v>
      </c>
      <c r="D48" s="26">
        <f>D45*$B44</f>
        <v>8232</v>
      </c>
      <c r="E48" s="26">
        <f t="shared" ref="E48:R48" si="110">E45*$B44</f>
        <v>6048</v>
      </c>
      <c r="F48" s="26">
        <f t="shared" si="110"/>
        <v>6048</v>
      </c>
      <c r="G48" s="26">
        <f t="shared" si="110"/>
        <v>6048</v>
      </c>
      <c r="H48" s="26">
        <f t="shared" si="110"/>
        <v>6048</v>
      </c>
      <c r="I48" s="26">
        <f t="shared" si="110"/>
        <v>4200</v>
      </c>
      <c r="J48" s="26">
        <f t="shared" si="110"/>
        <v>6048</v>
      </c>
      <c r="K48" s="26">
        <f t="shared" si="110"/>
        <v>6048</v>
      </c>
      <c r="L48" s="26">
        <f t="shared" si="110"/>
        <v>4200</v>
      </c>
      <c r="M48" s="26">
        <f t="shared" si="110"/>
        <v>4200</v>
      </c>
      <c r="N48" s="26">
        <f t="shared" si="110"/>
        <v>6048</v>
      </c>
      <c r="O48" s="26">
        <f t="shared" si="110"/>
        <v>6048</v>
      </c>
      <c r="P48" s="26">
        <f t="shared" si="110"/>
        <v>4200</v>
      </c>
      <c r="Q48" s="26">
        <f t="shared" si="110"/>
        <v>4200</v>
      </c>
      <c r="R48" s="26">
        <f t="shared" si="110"/>
        <v>2688</v>
      </c>
      <c r="S48" s="26">
        <f t="shared" ref="S48:W48" si="111">S45*$B44</f>
        <v>6048</v>
      </c>
      <c r="T48" s="26">
        <f t="shared" si="111"/>
        <v>6048</v>
      </c>
      <c r="U48" s="26">
        <f t="shared" si="111"/>
        <v>4200</v>
      </c>
      <c r="V48" s="26">
        <f t="shared" si="111"/>
        <v>4200</v>
      </c>
      <c r="W48" s="26">
        <f t="shared" si="111"/>
        <v>2688</v>
      </c>
      <c r="X48" s="26">
        <f t="shared" ref="X48:AB48" si="112">X45*$B44</f>
        <v>6048</v>
      </c>
      <c r="Y48" s="26">
        <f t="shared" si="112"/>
        <v>6048</v>
      </c>
      <c r="Z48" s="26">
        <f t="shared" si="112"/>
        <v>4200</v>
      </c>
      <c r="AA48" s="26">
        <f t="shared" si="112"/>
        <v>4200</v>
      </c>
      <c r="AB48" s="26">
        <f t="shared" si="112"/>
        <v>2688</v>
      </c>
      <c r="AC48" s="26">
        <f t="shared" ref="AC48:AG48" si="113">AC45*$B44</f>
        <v>6048</v>
      </c>
      <c r="AD48" s="26">
        <f t="shared" si="113"/>
        <v>6048</v>
      </c>
      <c r="AE48" s="26">
        <f t="shared" si="113"/>
        <v>4200</v>
      </c>
      <c r="AF48" s="26">
        <f t="shared" si="113"/>
        <v>4200</v>
      </c>
      <c r="AG48" s="26">
        <f t="shared" si="113"/>
        <v>2688</v>
      </c>
      <c r="AH48" s="26">
        <f t="shared" ref="AH48:AL48" si="114">AH45*$B44</f>
        <v>6048</v>
      </c>
      <c r="AI48" s="26">
        <f t="shared" si="114"/>
        <v>6048</v>
      </c>
      <c r="AJ48" s="26">
        <f t="shared" si="114"/>
        <v>4200</v>
      </c>
      <c r="AK48" s="26">
        <f t="shared" si="114"/>
        <v>4200</v>
      </c>
      <c r="AL48" s="26">
        <f t="shared" si="114"/>
        <v>2688</v>
      </c>
      <c r="AM48" s="26">
        <f t="shared" ref="AM48:AQ48" si="115">AM45*$B44</f>
        <v>6048</v>
      </c>
      <c r="AN48" s="26">
        <f t="shared" si="115"/>
        <v>6048</v>
      </c>
      <c r="AO48" s="26">
        <f t="shared" si="115"/>
        <v>4200</v>
      </c>
      <c r="AP48" s="26">
        <f t="shared" si="115"/>
        <v>4200</v>
      </c>
      <c r="AQ48" s="26">
        <f t="shared" si="115"/>
        <v>2688</v>
      </c>
    </row>
    <row r="49" spans="1:51" x14ac:dyDescent="0.35">
      <c r="A49" s="28" t="s">
        <v>46</v>
      </c>
      <c r="B49" s="27">
        <v>260</v>
      </c>
      <c r="C49" s="28" t="s">
        <v>54</v>
      </c>
      <c r="D49" s="25">
        <v>3700</v>
      </c>
      <c r="E49" s="25">
        <v>3200</v>
      </c>
      <c r="F49" s="25">
        <v>2700</v>
      </c>
      <c r="G49" s="25">
        <v>3100</v>
      </c>
      <c r="H49" s="25">
        <v>2650</v>
      </c>
      <c r="I49" s="25">
        <v>2200</v>
      </c>
      <c r="J49" s="25">
        <v>3050</v>
      </c>
      <c r="K49" s="25">
        <v>2575</v>
      </c>
      <c r="L49" s="25">
        <v>2100</v>
      </c>
      <c r="M49" s="25">
        <v>1900</v>
      </c>
      <c r="N49" s="25">
        <v>3000</v>
      </c>
      <c r="O49" s="25">
        <v>2500</v>
      </c>
      <c r="P49" s="25">
        <v>2050</v>
      </c>
      <c r="Q49" s="25">
        <v>1800</v>
      </c>
      <c r="R49" s="25">
        <v>1600</v>
      </c>
      <c r="S49" s="25">
        <v>2800</v>
      </c>
      <c r="T49" s="25">
        <v>2400</v>
      </c>
      <c r="U49" s="25">
        <v>2000</v>
      </c>
      <c r="V49" s="25">
        <v>1750</v>
      </c>
      <c r="W49" s="25">
        <v>1500</v>
      </c>
      <c r="X49" s="25">
        <v>2650</v>
      </c>
      <c r="Y49" s="25">
        <v>2275</v>
      </c>
      <c r="Z49" s="25">
        <v>1900</v>
      </c>
      <c r="AA49" s="25">
        <v>1650</v>
      </c>
      <c r="AB49" s="25">
        <v>1400</v>
      </c>
      <c r="AC49" s="25">
        <v>2500</v>
      </c>
      <c r="AD49" s="25">
        <v>2150</v>
      </c>
      <c r="AE49" s="25">
        <v>1800</v>
      </c>
      <c r="AF49" s="25">
        <v>1550</v>
      </c>
      <c r="AG49" s="25">
        <v>1300</v>
      </c>
      <c r="AH49" s="25">
        <v>2200</v>
      </c>
      <c r="AI49" s="25">
        <v>1900</v>
      </c>
      <c r="AJ49" s="25">
        <v>1600</v>
      </c>
      <c r="AK49" s="25">
        <v>1350</v>
      </c>
      <c r="AL49" s="25">
        <v>1100</v>
      </c>
      <c r="AM49" s="25">
        <v>1900</v>
      </c>
      <c r="AN49" s="25">
        <v>1650</v>
      </c>
      <c r="AO49" s="25">
        <v>1400</v>
      </c>
      <c r="AP49" s="25">
        <v>1150</v>
      </c>
      <c r="AQ49" s="25">
        <v>900</v>
      </c>
    </row>
    <row r="51" spans="1:51" ht="21" x14ac:dyDescent="0.5">
      <c r="A51" s="47" t="s">
        <v>37</v>
      </c>
      <c r="B51" s="27"/>
      <c r="C51" s="15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51" x14ac:dyDescent="0.35">
      <c r="A52" s="28" t="s">
        <v>39</v>
      </c>
      <c r="B52" s="27">
        <v>0.12</v>
      </c>
      <c r="C52" s="29" t="s">
        <v>48</v>
      </c>
      <c r="D52" s="44">
        <v>70</v>
      </c>
      <c r="E52" s="71">
        <v>80</v>
      </c>
      <c r="F52" s="73"/>
      <c r="G52" s="71">
        <v>90</v>
      </c>
      <c r="H52" s="72"/>
      <c r="I52" s="73"/>
      <c r="J52" s="71">
        <v>100</v>
      </c>
      <c r="K52" s="72"/>
      <c r="L52" s="72"/>
      <c r="M52" s="73"/>
      <c r="N52" s="71">
        <v>110</v>
      </c>
      <c r="O52" s="72"/>
      <c r="P52" s="72"/>
      <c r="Q52" s="73"/>
      <c r="R52" s="71">
        <v>120</v>
      </c>
      <c r="S52" s="72"/>
      <c r="T52" s="72"/>
      <c r="U52" s="73"/>
      <c r="V52" s="71">
        <v>130</v>
      </c>
      <c r="W52" s="72"/>
      <c r="X52" s="73"/>
      <c r="Y52" s="71">
        <v>140</v>
      </c>
      <c r="Z52" s="72"/>
      <c r="AA52" s="73"/>
      <c r="AB52" s="71">
        <v>150</v>
      </c>
      <c r="AC52" s="72"/>
      <c r="AD52" s="73"/>
      <c r="AE52" s="71">
        <v>160</v>
      </c>
      <c r="AF52" s="72"/>
      <c r="AG52" s="73"/>
      <c r="AH52" s="71">
        <v>170</v>
      </c>
      <c r="AI52" s="72"/>
      <c r="AJ52" s="73"/>
      <c r="AK52" s="71">
        <v>180</v>
      </c>
      <c r="AL52" s="72"/>
      <c r="AM52" s="73"/>
      <c r="AN52" s="71">
        <v>190</v>
      </c>
      <c r="AO52" s="72"/>
      <c r="AP52" s="73"/>
      <c r="AQ52" s="71">
        <v>200</v>
      </c>
      <c r="AR52" s="72"/>
      <c r="AS52" s="73"/>
      <c r="AT52" s="71">
        <v>250</v>
      </c>
      <c r="AU52" s="72"/>
      <c r="AV52" s="73"/>
      <c r="AW52" s="71">
        <v>300</v>
      </c>
      <c r="AX52" s="72"/>
      <c r="AY52" s="73"/>
    </row>
    <row r="53" spans="1:51" x14ac:dyDescent="0.35">
      <c r="A53" s="28" t="s">
        <v>40</v>
      </c>
      <c r="B53" s="27">
        <v>0.72</v>
      </c>
      <c r="C53" s="28" t="s">
        <v>57</v>
      </c>
      <c r="D53" s="27">
        <v>120</v>
      </c>
      <c r="E53" s="27">
        <v>120</v>
      </c>
      <c r="F53" s="27">
        <v>140</v>
      </c>
      <c r="G53" s="27">
        <v>120</v>
      </c>
      <c r="H53" s="27">
        <v>140</v>
      </c>
      <c r="I53" s="27">
        <v>160</v>
      </c>
      <c r="J53" s="27">
        <v>120</v>
      </c>
      <c r="K53" s="27">
        <v>140</v>
      </c>
      <c r="L53" s="27">
        <v>160</v>
      </c>
      <c r="M53" s="27">
        <v>180</v>
      </c>
      <c r="N53" s="27">
        <v>120</v>
      </c>
      <c r="O53" s="27">
        <v>140</v>
      </c>
      <c r="P53" s="27">
        <v>160</v>
      </c>
      <c r="Q53" s="27">
        <v>180</v>
      </c>
      <c r="R53" s="27">
        <v>120</v>
      </c>
      <c r="S53" s="27">
        <v>140</v>
      </c>
      <c r="T53" s="27">
        <v>160</v>
      </c>
      <c r="U53" s="27">
        <v>180</v>
      </c>
      <c r="V53" s="27">
        <v>140</v>
      </c>
      <c r="W53" s="27">
        <v>160</v>
      </c>
      <c r="X53" s="27">
        <v>180</v>
      </c>
      <c r="Y53" s="27">
        <v>140</v>
      </c>
      <c r="Z53" s="27">
        <v>160</v>
      </c>
      <c r="AA53" s="27">
        <v>180</v>
      </c>
      <c r="AB53" s="27">
        <v>140</v>
      </c>
      <c r="AC53" s="27">
        <v>160</v>
      </c>
      <c r="AD53" s="27">
        <v>180</v>
      </c>
      <c r="AE53" s="27">
        <v>140</v>
      </c>
      <c r="AF53" s="27">
        <v>160</v>
      </c>
      <c r="AG53" s="27">
        <v>180</v>
      </c>
      <c r="AH53" s="27">
        <v>140</v>
      </c>
      <c r="AI53" s="27">
        <v>160</v>
      </c>
      <c r="AJ53" s="27">
        <v>180</v>
      </c>
      <c r="AK53" s="27">
        <v>140</v>
      </c>
      <c r="AL53" s="27">
        <v>160</v>
      </c>
      <c r="AM53" s="27">
        <v>180</v>
      </c>
      <c r="AN53" s="27">
        <v>140</v>
      </c>
      <c r="AO53" s="27">
        <v>160</v>
      </c>
      <c r="AP53" s="27">
        <v>180</v>
      </c>
      <c r="AQ53" s="27">
        <v>140</v>
      </c>
      <c r="AR53" s="27">
        <v>160</v>
      </c>
      <c r="AS53" s="27">
        <v>180</v>
      </c>
      <c r="AT53" s="27">
        <v>140</v>
      </c>
      <c r="AU53" s="27">
        <v>160</v>
      </c>
      <c r="AV53" s="27">
        <v>180</v>
      </c>
      <c r="AW53" s="27">
        <v>140</v>
      </c>
      <c r="AX53" s="27">
        <v>160</v>
      </c>
      <c r="AY53" s="27">
        <v>180</v>
      </c>
    </row>
    <row r="54" spans="1:51" x14ac:dyDescent="0.35">
      <c r="A54" s="28" t="s">
        <v>41</v>
      </c>
      <c r="B54" s="27">
        <v>116</v>
      </c>
      <c r="C54" s="28" t="s">
        <v>58</v>
      </c>
      <c r="D54" s="27">
        <v>120</v>
      </c>
      <c r="E54" s="27">
        <v>120</v>
      </c>
      <c r="F54" s="27">
        <v>140</v>
      </c>
      <c r="G54" s="27">
        <v>120</v>
      </c>
      <c r="H54" s="27">
        <v>140</v>
      </c>
      <c r="I54" s="27">
        <v>160</v>
      </c>
      <c r="J54" s="27">
        <v>120</v>
      </c>
      <c r="K54" s="27">
        <v>140</v>
      </c>
      <c r="L54" s="27">
        <v>160</v>
      </c>
      <c r="M54" s="27">
        <v>180</v>
      </c>
      <c r="N54" s="27">
        <v>120</v>
      </c>
      <c r="O54" s="27">
        <v>140</v>
      </c>
      <c r="P54" s="27">
        <v>160</v>
      </c>
      <c r="Q54" s="27">
        <v>180</v>
      </c>
      <c r="R54" s="27">
        <v>120</v>
      </c>
      <c r="S54" s="27">
        <v>140</v>
      </c>
      <c r="T54" s="27">
        <v>160</v>
      </c>
      <c r="U54" s="27">
        <v>180</v>
      </c>
      <c r="V54" s="27">
        <v>140</v>
      </c>
      <c r="W54" s="27">
        <v>160</v>
      </c>
      <c r="X54" s="27">
        <v>180</v>
      </c>
      <c r="Y54" s="27">
        <v>140</v>
      </c>
      <c r="Z54" s="27">
        <v>160</v>
      </c>
      <c r="AA54" s="27">
        <v>180</v>
      </c>
      <c r="AB54" s="27">
        <v>140</v>
      </c>
      <c r="AC54" s="27">
        <v>160</v>
      </c>
      <c r="AD54" s="27">
        <v>180</v>
      </c>
      <c r="AE54" s="27">
        <v>140</v>
      </c>
      <c r="AF54" s="27">
        <v>160</v>
      </c>
      <c r="AG54" s="27">
        <v>180</v>
      </c>
      <c r="AH54" s="27">
        <v>140</v>
      </c>
      <c r="AI54" s="27">
        <v>160</v>
      </c>
      <c r="AJ54" s="27">
        <v>180</v>
      </c>
      <c r="AK54" s="27">
        <v>140</v>
      </c>
      <c r="AL54" s="27">
        <v>160</v>
      </c>
      <c r="AM54" s="27">
        <v>180</v>
      </c>
      <c r="AN54" s="27">
        <v>140</v>
      </c>
      <c r="AO54" s="27">
        <v>160</v>
      </c>
      <c r="AP54" s="27">
        <v>180</v>
      </c>
      <c r="AQ54" s="27">
        <v>140</v>
      </c>
      <c r="AR54" s="27">
        <v>160</v>
      </c>
      <c r="AS54" s="27">
        <v>180</v>
      </c>
      <c r="AT54" s="27">
        <v>140</v>
      </c>
      <c r="AU54" s="27">
        <v>160</v>
      </c>
      <c r="AV54" s="27">
        <v>180</v>
      </c>
      <c r="AW54" s="27">
        <v>140</v>
      </c>
      <c r="AX54" s="27">
        <v>160</v>
      </c>
      <c r="AY54" s="27">
        <v>180</v>
      </c>
    </row>
    <row r="55" spans="1:51" x14ac:dyDescent="0.35">
      <c r="A55" s="28" t="s">
        <v>42</v>
      </c>
      <c r="B55" s="27">
        <v>66</v>
      </c>
      <c r="C55" s="28" t="s">
        <v>50</v>
      </c>
      <c r="D55" s="30">
        <f t="shared" ref="D55:AY55" si="116">ROUND((1000/D53),)^2</f>
        <v>64</v>
      </c>
      <c r="E55" s="30">
        <f t="shared" si="116"/>
        <v>64</v>
      </c>
      <c r="F55" s="30">
        <f t="shared" si="116"/>
        <v>49</v>
      </c>
      <c r="G55" s="30">
        <f t="shared" si="116"/>
        <v>64</v>
      </c>
      <c r="H55" s="30">
        <f t="shared" si="116"/>
        <v>49</v>
      </c>
      <c r="I55" s="30">
        <f t="shared" si="116"/>
        <v>36</v>
      </c>
      <c r="J55" s="30">
        <f t="shared" si="116"/>
        <v>64</v>
      </c>
      <c r="K55" s="30">
        <f t="shared" si="116"/>
        <v>49</v>
      </c>
      <c r="L55" s="30">
        <f t="shared" si="116"/>
        <v>36</v>
      </c>
      <c r="M55" s="30">
        <f t="shared" si="116"/>
        <v>36</v>
      </c>
      <c r="N55" s="30">
        <f t="shared" si="116"/>
        <v>64</v>
      </c>
      <c r="O55" s="30">
        <f t="shared" si="116"/>
        <v>49</v>
      </c>
      <c r="P55" s="30">
        <f t="shared" si="116"/>
        <v>36</v>
      </c>
      <c r="Q55" s="30">
        <f t="shared" si="116"/>
        <v>36</v>
      </c>
      <c r="R55" s="30">
        <f t="shared" si="116"/>
        <v>64</v>
      </c>
      <c r="S55" s="30">
        <f t="shared" si="116"/>
        <v>49</v>
      </c>
      <c r="T55" s="30">
        <f t="shared" si="116"/>
        <v>36</v>
      </c>
      <c r="U55" s="30">
        <f t="shared" si="116"/>
        <v>36</v>
      </c>
      <c r="V55" s="30">
        <f t="shared" si="116"/>
        <v>49</v>
      </c>
      <c r="W55" s="30">
        <f t="shared" si="116"/>
        <v>36</v>
      </c>
      <c r="X55" s="30">
        <f t="shared" si="116"/>
        <v>36</v>
      </c>
      <c r="Y55" s="30">
        <f t="shared" si="116"/>
        <v>49</v>
      </c>
      <c r="Z55" s="30">
        <f t="shared" si="116"/>
        <v>36</v>
      </c>
      <c r="AA55" s="30">
        <f t="shared" si="116"/>
        <v>36</v>
      </c>
      <c r="AB55" s="30">
        <f t="shared" si="116"/>
        <v>49</v>
      </c>
      <c r="AC55" s="30">
        <f t="shared" si="116"/>
        <v>36</v>
      </c>
      <c r="AD55" s="30">
        <f t="shared" si="116"/>
        <v>36</v>
      </c>
      <c r="AE55" s="30">
        <f t="shared" si="116"/>
        <v>49</v>
      </c>
      <c r="AF55" s="30">
        <f t="shared" si="116"/>
        <v>36</v>
      </c>
      <c r="AG55" s="30">
        <f t="shared" si="116"/>
        <v>36</v>
      </c>
      <c r="AH55" s="30">
        <f t="shared" si="116"/>
        <v>49</v>
      </c>
      <c r="AI55" s="30">
        <f t="shared" si="116"/>
        <v>36</v>
      </c>
      <c r="AJ55" s="30">
        <f t="shared" si="116"/>
        <v>36</v>
      </c>
      <c r="AK55" s="30">
        <f t="shared" si="116"/>
        <v>49</v>
      </c>
      <c r="AL55" s="30">
        <f t="shared" si="116"/>
        <v>36</v>
      </c>
      <c r="AM55" s="30">
        <f t="shared" si="116"/>
        <v>36</v>
      </c>
      <c r="AN55" s="30">
        <f t="shared" si="116"/>
        <v>49</v>
      </c>
      <c r="AO55" s="30">
        <f t="shared" si="116"/>
        <v>36</v>
      </c>
      <c r="AP55" s="30">
        <f t="shared" si="116"/>
        <v>36</v>
      </c>
      <c r="AQ55" s="30">
        <f t="shared" si="116"/>
        <v>49</v>
      </c>
      <c r="AR55" s="30">
        <f t="shared" si="116"/>
        <v>36</v>
      </c>
      <c r="AS55" s="30">
        <f t="shared" si="116"/>
        <v>36</v>
      </c>
      <c r="AT55" s="30">
        <f t="shared" si="116"/>
        <v>49</v>
      </c>
      <c r="AU55" s="30">
        <f t="shared" si="116"/>
        <v>36</v>
      </c>
      <c r="AV55" s="30">
        <f t="shared" si="116"/>
        <v>36</v>
      </c>
      <c r="AW55" s="30">
        <f t="shared" si="116"/>
        <v>49</v>
      </c>
      <c r="AX55" s="30">
        <f t="shared" si="116"/>
        <v>36</v>
      </c>
      <c r="AY55" s="30">
        <f t="shared" si="116"/>
        <v>36</v>
      </c>
    </row>
    <row r="56" spans="1:51" x14ac:dyDescent="0.35">
      <c r="A56" s="28" t="s">
        <v>43</v>
      </c>
      <c r="B56" s="27">
        <v>165</v>
      </c>
      <c r="C56" s="28" t="s">
        <v>51</v>
      </c>
      <c r="D56" s="30">
        <f t="shared" ref="D56:AY56" si="117">D55*$B$83</f>
        <v>0</v>
      </c>
      <c r="E56" s="30">
        <f t="shared" si="117"/>
        <v>0</v>
      </c>
      <c r="F56" s="30">
        <f t="shared" si="117"/>
        <v>0</v>
      </c>
      <c r="G56" s="30">
        <f t="shared" si="117"/>
        <v>0</v>
      </c>
      <c r="H56" s="30">
        <f t="shared" si="117"/>
        <v>0</v>
      </c>
      <c r="I56" s="30">
        <f t="shared" si="117"/>
        <v>0</v>
      </c>
      <c r="J56" s="30">
        <f t="shared" si="117"/>
        <v>0</v>
      </c>
      <c r="K56" s="30">
        <f t="shared" si="117"/>
        <v>0</v>
      </c>
      <c r="L56" s="30">
        <f t="shared" si="117"/>
        <v>0</v>
      </c>
      <c r="M56" s="30">
        <f t="shared" si="117"/>
        <v>0</v>
      </c>
      <c r="N56" s="30">
        <f t="shared" si="117"/>
        <v>0</v>
      </c>
      <c r="O56" s="30">
        <f t="shared" si="117"/>
        <v>0</v>
      </c>
      <c r="P56" s="30">
        <f t="shared" si="117"/>
        <v>0</v>
      </c>
      <c r="Q56" s="30">
        <f t="shared" si="117"/>
        <v>0</v>
      </c>
      <c r="R56" s="30">
        <f t="shared" si="117"/>
        <v>0</v>
      </c>
      <c r="S56" s="30">
        <f t="shared" si="117"/>
        <v>0</v>
      </c>
      <c r="T56" s="30">
        <f t="shared" si="117"/>
        <v>0</v>
      </c>
      <c r="U56" s="30">
        <f t="shared" si="117"/>
        <v>0</v>
      </c>
      <c r="V56" s="30">
        <f t="shared" si="117"/>
        <v>0</v>
      </c>
      <c r="W56" s="30">
        <f t="shared" si="117"/>
        <v>0</v>
      </c>
      <c r="X56" s="30">
        <f t="shared" si="117"/>
        <v>0</v>
      </c>
      <c r="Y56" s="30">
        <f t="shared" si="117"/>
        <v>0</v>
      </c>
      <c r="Z56" s="30">
        <f t="shared" si="117"/>
        <v>0</v>
      </c>
      <c r="AA56" s="30">
        <f t="shared" si="117"/>
        <v>0</v>
      </c>
      <c r="AB56" s="30">
        <f t="shared" si="117"/>
        <v>0</v>
      </c>
      <c r="AC56" s="30">
        <f t="shared" si="117"/>
        <v>0</v>
      </c>
      <c r="AD56" s="30">
        <f t="shared" si="117"/>
        <v>0</v>
      </c>
      <c r="AE56" s="30">
        <f t="shared" si="117"/>
        <v>0</v>
      </c>
      <c r="AF56" s="30">
        <f t="shared" si="117"/>
        <v>0</v>
      </c>
      <c r="AG56" s="30">
        <f t="shared" si="117"/>
        <v>0</v>
      </c>
      <c r="AH56" s="30">
        <f t="shared" si="117"/>
        <v>0</v>
      </c>
      <c r="AI56" s="30">
        <f t="shared" si="117"/>
        <v>0</v>
      </c>
      <c r="AJ56" s="30">
        <f t="shared" si="117"/>
        <v>0</v>
      </c>
      <c r="AK56" s="30">
        <f t="shared" si="117"/>
        <v>0</v>
      </c>
      <c r="AL56" s="30">
        <f t="shared" si="117"/>
        <v>0</v>
      </c>
      <c r="AM56" s="30">
        <f t="shared" si="117"/>
        <v>0</v>
      </c>
      <c r="AN56" s="30">
        <f t="shared" si="117"/>
        <v>0</v>
      </c>
      <c r="AO56" s="30">
        <f t="shared" si="117"/>
        <v>0</v>
      </c>
      <c r="AP56" s="30">
        <f t="shared" si="117"/>
        <v>0</v>
      </c>
      <c r="AQ56" s="30">
        <f t="shared" si="117"/>
        <v>0</v>
      </c>
      <c r="AR56" s="30">
        <f t="shared" si="117"/>
        <v>0</v>
      </c>
      <c r="AS56" s="30">
        <f t="shared" si="117"/>
        <v>0</v>
      </c>
      <c r="AT56" s="30">
        <f t="shared" si="117"/>
        <v>0</v>
      </c>
      <c r="AU56" s="30">
        <f t="shared" si="117"/>
        <v>0</v>
      </c>
      <c r="AV56" s="30">
        <f t="shared" si="117"/>
        <v>0</v>
      </c>
      <c r="AW56" s="30">
        <f t="shared" si="117"/>
        <v>0</v>
      </c>
      <c r="AX56" s="30">
        <f t="shared" si="117"/>
        <v>0</v>
      </c>
      <c r="AY56" s="30">
        <f t="shared" si="117"/>
        <v>0</v>
      </c>
    </row>
    <row r="57" spans="1:51" x14ac:dyDescent="0.35">
      <c r="A57" s="28" t="s">
        <v>44</v>
      </c>
      <c r="B57" s="27">
        <v>5</v>
      </c>
      <c r="C57" s="28" t="s">
        <v>52</v>
      </c>
      <c r="D57" s="30">
        <f t="shared" ref="D57:AY57" si="118">D55*$B53</f>
        <v>46.08</v>
      </c>
      <c r="E57" s="30">
        <f t="shared" si="118"/>
        <v>46.08</v>
      </c>
      <c r="F57" s="30">
        <f t="shared" si="118"/>
        <v>35.28</v>
      </c>
      <c r="G57" s="30">
        <f t="shared" si="118"/>
        <v>46.08</v>
      </c>
      <c r="H57" s="30">
        <f t="shared" si="118"/>
        <v>35.28</v>
      </c>
      <c r="I57" s="30">
        <f t="shared" si="118"/>
        <v>25.919999999999998</v>
      </c>
      <c r="J57" s="30">
        <f t="shared" si="118"/>
        <v>46.08</v>
      </c>
      <c r="K57" s="30">
        <f t="shared" si="118"/>
        <v>35.28</v>
      </c>
      <c r="L57" s="30">
        <f t="shared" si="118"/>
        <v>25.919999999999998</v>
      </c>
      <c r="M57" s="30">
        <f t="shared" si="118"/>
        <v>25.919999999999998</v>
      </c>
      <c r="N57" s="30">
        <f t="shared" si="118"/>
        <v>46.08</v>
      </c>
      <c r="O57" s="30">
        <f t="shared" si="118"/>
        <v>35.28</v>
      </c>
      <c r="P57" s="30">
        <f t="shared" si="118"/>
        <v>25.919999999999998</v>
      </c>
      <c r="Q57" s="30">
        <f t="shared" si="118"/>
        <v>25.919999999999998</v>
      </c>
      <c r="R57" s="30">
        <f t="shared" si="118"/>
        <v>46.08</v>
      </c>
      <c r="S57" s="30">
        <f t="shared" si="118"/>
        <v>35.28</v>
      </c>
      <c r="T57" s="30">
        <f t="shared" si="118"/>
        <v>25.919999999999998</v>
      </c>
      <c r="U57" s="30">
        <f t="shared" si="118"/>
        <v>25.919999999999998</v>
      </c>
      <c r="V57" s="30">
        <f t="shared" si="118"/>
        <v>35.28</v>
      </c>
      <c r="W57" s="30">
        <f t="shared" si="118"/>
        <v>25.919999999999998</v>
      </c>
      <c r="X57" s="30">
        <f t="shared" si="118"/>
        <v>25.919999999999998</v>
      </c>
      <c r="Y57" s="30">
        <f t="shared" si="118"/>
        <v>35.28</v>
      </c>
      <c r="Z57" s="30">
        <f t="shared" si="118"/>
        <v>25.919999999999998</v>
      </c>
      <c r="AA57" s="30">
        <f t="shared" si="118"/>
        <v>25.919999999999998</v>
      </c>
      <c r="AB57" s="30">
        <f t="shared" si="118"/>
        <v>35.28</v>
      </c>
      <c r="AC57" s="30">
        <f t="shared" si="118"/>
        <v>25.919999999999998</v>
      </c>
      <c r="AD57" s="30">
        <f t="shared" si="118"/>
        <v>25.919999999999998</v>
      </c>
      <c r="AE57" s="30">
        <f t="shared" si="118"/>
        <v>35.28</v>
      </c>
      <c r="AF57" s="30">
        <f t="shared" si="118"/>
        <v>25.919999999999998</v>
      </c>
      <c r="AG57" s="30">
        <f t="shared" si="118"/>
        <v>25.919999999999998</v>
      </c>
      <c r="AH57" s="30">
        <f t="shared" si="118"/>
        <v>35.28</v>
      </c>
      <c r="AI57" s="30">
        <f t="shared" si="118"/>
        <v>25.919999999999998</v>
      </c>
      <c r="AJ57" s="30">
        <f t="shared" si="118"/>
        <v>25.919999999999998</v>
      </c>
      <c r="AK57" s="30">
        <f t="shared" si="118"/>
        <v>35.28</v>
      </c>
      <c r="AL57" s="30">
        <f t="shared" si="118"/>
        <v>25.919999999999998</v>
      </c>
      <c r="AM57" s="30">
        <f t="shared" si="118"/>
        <v>25.919999999999998</v>
      </c>
      <c r="AN57" s="30">
        <f t="shared" si="118"/>
        <v>35.28</v>
      </c>
      <c r="AO57" s="30">
        <f t="shared" si="118"/>
        <v>25.919999999999998</v>
      </c>
      <c r="AP57" s="30">
        <f t="shared" si="118"/>
        <v>25.919999999999998</v>
      </c>
      <c r="AQ57" s="30">
        <f t="shared" si="118"/>
        <v>35.28</v>
      </c>
      <c r="AR57" s="30">
        <f t="shared" si="118"/>
        <v>25.919999999999998</v>
      </c>
      <c r="AS57" s="30">
        <f t="shared" si="118"/>
        <v>25.919999999999998</v>
      </c>
      <c r="AT57" s="30">
        <f t="shared" si="118"/>
        <v>35.28</v>
      </c>
      <c r="AU57" s="30">
        <f t="shared" si="118"/>
        <v>25.919999999999998</v>
      </c>
      <c r="AV57" s="30">
        <f t="shared" si="118"/>
        <v>25.919999999999998</v>
      </c>
      <c r="AW57" s="30">
        <f t="shared" si="118"/>
        <v>35.28</v>
      </c>
      <c r="AX57" s="30">
        <f t="shared" si="118"/>
        <v>25.919999999999998</v>
      </c>
      <c r="AY57" s="30">
        <f t="shared" si="118"/>
        <v>25.919999999999998</v>
      </c>
    </row>
    <row r="58" spans="1:51" x14ac:dyDescent="0.35">
      <c r="A58" s="28" t="s">
        <v>45</v>
      </c>
      <c r="B58" s="27">
        <v>6500</v>
      </c>
      <c r="C58" s="28" t="s">
        <v>53</v>
      </c>
      <c r="D58" s="27">
        <f t="shared" ref="D58:AY58" si="119">D55*$B54</f>
        <v>7424</v>
      </c>
      <c r="E58" s="27">
        <f t="shared" si="119"/>
        <v>7424</v>
      </c>
      <c r="F58" s="27">
        <f t="shared" si="119"/>
        <v>5684</v>
      </c>
      <c r="G58" s="27">
        <f t="shared" si="119"/>
        <v>7424</v>
      </c>
      <c r="H58" s="27">
        <f t="shared" si="119"/>
        <v>5684</v>
      </c>
      <c r="I58" s="27">
        <f t="shared" si="119"/>
        <v>4176</v>
      </c>
      <c r="J58" s="27">
        <f t="shared" si="119"/>
        <v>7424</v>
      </c>
      <c r="K58" s="27">
        <f t="shared" si="119"/>
        <v>5684</v>
      </c>
      <c r="L58" s="27">
        <f t="shared" si="119"/>
        <v>4176</v>
      </c>
      <c r="M58" s="27">
        <f t="shared" si="119"/>
        <v>4176</v>
      </c>
      <c r="N58" s="27">
        <f t="shared" si="119"/>
        <v>7424</v>
      </c>
      <c r="O58" s="27">
        <f t="shared" si="119"/>
        <v>5684</v>
      </c>
      <c r="P58" s="27">
        <f t="shared" si="119"/>
        <v>4176</v>
      </c>
      <c r="Q58" s="27">
        <f t="shared" si="119"/>
        <v>4176</v>
      </c>
      <c r="R58" s="27">
        <f t="shared" si="119"/>
        <v>7424</v>
      </c>
      <c r="S58" s="27">
        <f t="shared" si="119"/>
        <v>5684</v>
      </c>
      <c r="T58" s="27">
        <f t="shared" si="119"/>
        <v>4176</v>
      </c>
      <c r="U58" s="27">
        <f t="shared" si="119"/>
        <v>4176</v>
      </c>
      <c r="V58" s="27">
        <f t="shared" si="119"/>
        <v>5684</v>
      </c>
      <c r="W58" s="27">
        <f t="shared" si="119"/>
        <v>4176</v>
      </c>
      <c r="X58" s="27">
        <f t="shared" si="119"/>
        <v>4176</v>
      </c>
      <c r="Y58" s="27">
        <f t="shared" si="119"/>
        <v>5684</v>
      </c>
      <c r="Z58" s="27">
        <f t="shared" si="119"/>
        <v>4176</v>
      </c>
      <c r="AA58" s="27">
        <f t="shared" si="119"/>
        <v>4176</v>
      </c>
      <c r="AB58" s="27">
        <f t="shared" si="119"/>
        <v>5684</v>
      </c>
      <c r="AC58" s="27">
        <f t="shared" si="119"/>
        <v>4176</v>
      </c>
      <c r="AD58" s="27">
        <f t="shared" si="119"/>
        <v>4176</v>
      </c>
      <c r="AE58" s="27">
        <f t="shared" si="119"/>
        <v>5684</v>
      </c>
      <c r="AF58" s="27">
        <f t="shared" si="119"/>
        <v>4176</v>
      </c>
      <c r="AG58" s="27">
        <f t="shared" si="119"/>
        <v>4176</v>
      </c>
      <c r="AH58" s="27">
        <f t="shared" si="119"/>
        <v>5684</v>
      </c>
      <c r="AI58" s="27">
        <f t="shared" si="119"/>
        <v>4176</v>
      </c>
      <c r="AJ58" s="27">
        <f t="shared" si="119"/>
        <v>4176</v>
      </c>
      <c r="AK58" s="27">
        <f t="shared" si="119"/>
        <v>5684</v>
      </c>
      <c r="AL58" s="27">
        <f t="shared" si="119"/>
        <v>4176</v>
      </c>
      <c r="AM58" s="27">
        <f t="shared" si="119"/>
        <v>4176</v>
      </c>
      <c r="AN58" s="27">
        <f t="shared" si="119"/>
        <v>5684</v>
      </c>
      <c r="AO58" s="27">
        <f t="shared" si="119"/>
        <v>4176</v>
      </c>
      <c r="AP58" s="27">
        <f t="shared" si="119"/>
        <v>4176</v>
      </c>
      <c r="AQ58" s="27">
        <f t="shared" si="119"/>
        <v>5684</v>
      </c>
      <c r="AR58" s="27">
        <f t="shared" si="119"/>
        <v>4176</v>
      </c>
      <c r="AS58" s="27">
        <f t="shared" si="119"/>
        <v>4176</v>
      </c>
      <c r="AT58" s="27">
        <f t="shared" si="119"/>
        <v>5684</v>
      </c>
      <c r="AU58" s="27">
        <f t="shared" si="119"/>
        <v>4176</v>
      </c>
      <c r="AV58" s="27">
        <f t="shared" si="119"/>
        <v>4176</v>
      </c>
      <c r="AW58" s="27">
        <f t="shared" si="119"/>
        <v>5684</v>
      </c>
      <c r="AX58" s="27">
        <f t="shared" si="119"/>
        <v>4176</v>
      </c>
      <c r="AY58" s="27">
        <f t="shared" si="119"/>
        <v>4176</v>
      </c>
    </row>
    <row r="59" spans="1:51" x14ac:dyDescent="0.35">
      <c r="A59" s="28" t="s">
        <v>46</v>
      </c>
      <c r="B59" s="27">
        <v>200</v>
      </c>
      <c r="C59" s="28" t="s">
        <v>54</v>
      </c>
      <c r="D59" s="49">
        <v>4200</v>
      </c>
      <c r="E59" s="27">
        <v>4100</v>
      </c>
      <c r="F59" s="27">
        <v>3000</v>
      </c>
      <c r="G59" s="27">
        <v>4000</v>
      </c>
      <c r="H59" s="27">
        <v>2900</v>
      </c>
      <c r="I59" s="27">
        <v>2400</v>
      </c>
      <c r="J59" s="27">
        <v>3800</v>
      </c>
      <c r="K59" s="27">
        <v>2800</v>
      </c>
      <c r="L59" s="27">
        <v>2300</v>
      </c>
      <c r="M59" s="27">
        <v>1800</v>
      </c>
      <c r="N59" s="27">
        <v>3700</v>
      </c>
      <c r="O59" s="27">
        <v>2750</v>
      </c>
      <c r="P59" s="27">
        <v>2200</v>
      </c>
      <c r="Q59" s="27">
        <v>1700</v>
      </c>
      <c r="R59" s="27">
        <v>3600</v>
      </c>
      <c r="S59" s="27">
        <v>2700</v>
      </c>
      <c r="T59" s="27">
        <v>2100</v>
      </c>
      <c r="U59" s="27">
        <v>1650</v>
      </c>
      <c r="V59" s="27">
        <v>2650</v>
      </c>
      <c r="W59" s="27">
        <v>2050</v>
      </c>
      <c r="X59" s="27">
        <v>1630</v>
      </c>
      <c r="Y59" s="27">
        <v>2600</v>
      </c>
      <c r="Z59" s="27">
        <v>2000</v>
      </c>
      <c r="AA59" s="27">
        <v>1600</v>
      </c>
      <c r="AB59" s="27">
        <v>2500</v>
      </c>
      <c r="AC59" s="27">
        <v>1950</v>
      </c>
      <c r="AD59" s="27">
        <v>1550</v>
      </c>
      <c r="AE59" s="27">
        <v>2450</v>
      </c>
      <c r="AF59" s="27">
        <v>1900</v>
      </c>
      <c r="AG59" s="27">
        <v>1500</v>
      </c>
      <c r="AH59" s="27">
        <v>2400</v>
      </c>
      <c r="AI59" s="27">
        <v>1850</v>
      </c>
      <c r="AJ59" s="27">
        <v>1450</v>
      </c>
      <c r="AK59" s="27">
        <v>2300</v>
      </c>
      <c r="AL59" s="27">
        <v>1800</v>
      </c>
      <c r="AM59" s="27">
        <v>1400</v>
      </c>
      <c r="AN59" s="27">
        <v>2250</v>
      </c>
      <c r="AO59" s="27">
        <v>1750</v>
      </c>
      <c r="AP59" s="27">
        <v>1370</v>
      </c>
      <c r="AQ59" s="27">
        <v>2200</v>
      </c>
      <c r="AR59" s="27">
        <v>1700</v>
      </c>
      <c r="AS59" s="27">
        <v>1350</v>
      </c>
      <c r="AT59" s="27">
        <v>2000</v>
      </c>
      <c r="AU59" s="27">
        <v>1550</v>
      </c>
      <c r="AV59" s="27">
        <v>1200</v>
      </c>
      <c r="AW59" s="27">
        <v>1800</v>
      </c>
      <c r="AX59" s="27">
        <v>1400</v>
      </c>
      <c r="AY59" s="27">
        <v>1050</v>
      </c>
    </row>
    <row r="61" spans="1:51" ht="21" x14ac:dyDescent="0.5">
      <c r="A61" s="47" t="s">
        <v>38</v>
      </c>
      <c r="B61" s="27"/>
      <c r="C61" s="15"/>
      <c r="D61" s="27"/>
      <c r="E61" s="27"/>
      <c r="F61" s="27"/>
    </row>
    <row r="62" spans="1:51" x14ac:dyDescent="0.35">
      <c r="A62" s="28" t="s">
        <v>39</v>
      </c>
      <c r="B62" s="27">
        <v>0.11</v>
      </c>
      <c r="C62" s="29" t="s">
        <v>48</v>
      </c>
      <c r="D62" s="44">
        <v>50</v>
      </c>
      <c r="E62" s="71">
        <v>60</v>
      </c>
      <c r="F62" s="73"/>
      <c r="G62" s="62">
        <v>70</v>
      </c>
      <c r="H62" s="63"/>
      <c r="I62" s="63"/>
      <c r="J62" s="62">
        <v>80</v>
      </c>
      <c r="K62" s="63"/>
      <c r="L62" s="63"/>
      <c r="M62" s="62">
        <v>90</v>
      </c>
      <c r="N62" s="63"/>
      <c r="O62" s="63"/>
      <c r="P62" s="62">
        <v>100</v>
      </c>
      <c r="Q62" s="63"/>
      <c r="R62" s="63"/>
      <c r="S62" s="62">
        <v>120</v>
      </c>
      <c r="T62" s="63"/>
      <c r="U62" s="63"/>
      <c r="V62" s="62">
        <v>140</v>
      </c>
      <c r="W62" s="63"/>
      <c r="X62" s="63"/>
      <c r="Y62" s="62">
        <v>160</v>
      </c>
      <c r="Z62" s="63"/>
      <c r="AA62" s="63"/>
      <c r="AB62" s="62">
        <v>180</v>
      </c>
      <c r="AC62" s="63"/>
      <c r="AD62" s="63"/>
      <c r="AE62" s="62">
        <v>200</v>
      </c>
      <c r="AF62" s="63"/>
      <c r="AG62" s="63"/>
    </row>
    <row r="63" spans="1:51" x14ac:dyDescent="0.35">
      <c r="A63" s="28" t="s">
        <v>40</v>
      </c>
      <c r="B63" s="27">
        <v>0.5</v>
      </c>
      <c r="C63" s="28" t="s">
        <v>57</v>
      </c>
      <c r="D63" s="27">
        <v>80</v>
      </c>
      <c r="E63" s="27">
        <v>80</v>
      </c>
      <c r="F63" s="27">
        <v>100</v>
      </c>
      <c r="G63" s="27">
        <v>80</v>
      </c>
      <c r="H63" s="27">
        <v>100</v>
      </c>
      <c r="I63" s="27">
        <v>120</v>
      </c>
      <c r="J63" s="27">
        <v>100</v>
      </c>
      <c r="K63" s="27">
        <v>120</v>
      </c>
      <c r="L63" s="27">
        <v>140</v>
      </c>
      <c r="M63" s="27">
        <v>100</v>
      </c>
      <c r="N63" s="27">
        <v>120</v>
      </c>
      <c r="O63" s="27">
        <v>140</v>
      </c>
      <c r="P63" s="27">
        <v>100</v>
      </c>
      <c r="Q63" s="27">
        <v>120</v>
      </c>
      <c r="R63" s="27">
        <v>140</v>
      </c>
      <c r="S63" s="27">
        <v>100</v>
      </c>
      <c r="T63" s="27">
        <v>120</v>
      </c>
      <c r="U63" s="27">
        <v>140</v>
      </c>
      <c r="V63" s="27">
        <v>100</v>
      </c>
      <c r="W63" s="27">
        <v>120</v>
      </c>
      <c r="X63" s="27">
        <v>140</v>
      </c>
      <c r="Y63" s="27">
        <v>100</v>
      </c>
      <c r="Z63" s="27">
        <v>120</v>
      </c>
      <c r="AA63" s="27">
        <v>140</v>
      </c>
      <c r="AB63" s="27">
        <v>100</v>
      </c>
      <c r="AC63" s="27">
        <v>120</v>
      </c>
      <c r="AD63" s="27">
        <v>140</v>
      </c>
      <c r="AE63" s="27">
        <v>100</v>
      </c>
      <c r="AF63" s="27">
        <v>120</v>
      </c>
      <c r="AG63" s="27">
        <v>140</v>
      </c>
    </row>
    <row r="64" spans="1:51" x14ac:dyDescent="0.35">
      <c r="A64" s="28" t="s">
        <v>41</v>
      </c>
      <c r="B64" s="27">
        <v>60</v>
      </c>
      <c r="C64" s="28" t="s">
        <v>58</v>
      </c>
      <c r="D64" s="27">
        <v>80</v>
      </c>
      <c r="E64" s="27">
        <v>80</v>
      </c>
      <c r="F64" s="27">
        <v>100</v>
      </c>
      <c r="G64" s="27">
        <v>80</v>
      </c>
      <c r="H64" s="27">
        <v>100</v>
      </c>
      <c r="I64" s="27">
        <v>120</v>
      </c>
      <c r="J64" s="27">
        <v>100</v>
      </c>
      <c r="K64" s="27">
        <v>120</v>
      </c>
      <c r="L64" s="27">
        <v>140</v>
      </c>
      <c r="M64" s="27">
        <v>100</v>
      </c>
      <c r="N64" s="27">
        <v>120</v>
      </c>
      <c r="O64" s="27">
        <v>140</v>
      </c>
      <c r="P64" s="27">
        <v>100</v>
      </c>
      <c r="Q64" s="27">
        <v>120</v>
      </c>
      <c r="R64" s="27">
        <v>140</v>
      </c>
      <c r="S64" s="27">
        <v>100</v>
      </c>
      <c r="T64" s="27">
        <v>120</v>
      </c>
      <c r="U64" s="27">
        <v>140</v>
      </c>
      <c r="V64" s="27">
        <v>100</v>
      </c>
      <c r="W64" s="27">
        <v>120</v>
      </c>
      <c r="X64" s="27">
        <v>140</v>
      </c>
      <c r="Y64" s="27">
        <v>100</v>
      </c>
      <c r="Z64" s="27">
        <v>120</v>
      </c>
      <c r="AA64" s="27">
        <v>140</v>
      </c>
      <c r="AB64" s="27">
        <v>100</v>
      </c>
      <c r="AC64" s="27">
        <v>120</v>
      </c>
      <c r="AD64" s="27">
        <v>140</v>
      </c>
      <c r="AE64" s="27">
        <v>100</v>
      </c>
      <c r="AF64" s="27">
        <v>120</v>
      </c>
      <c r="AG64" s="27">
        <v>140</v>
      </c>
    </row>
    <row r="65" spans="1:33" x14ac:dyDescent="0.35">
      <c r="A65" s="28" t="s">
        <v>42</v>
      </c>
      <c r="B65" s="27">
        <v>67</v>
      </c>
      <c r="C65" s="28" t="s">
        <v>50</v>
      </c>
      <c r="D65" s="30">
        <f t="shared" ref="D65:M65" si="120">ROUND((1000/D63),)^2</f>
        <v>169</v>
      </c>
      <c r="E65" s="30">
        <f t="shared" si="120"/>
        <v>169</v>
      </c>
      <c r="F65" s="30">
        <f t="shared" si="120"/>
        <v>100</v>
      </c>
      <c r="G65" s="30">
        <f t="shared" si="120"/>
        <v>169</v>
      </c>
      <c r="H65" s="30">
        <f t="shared" si="120"/>
        <v>100</v>
      </c>
      <c r="I65" s="30">
        <f t="shared" si="120"/>
        <v>64</v>
      </c>
      <c r="J65" s="30">
        <f t="shared" si="120"/>
        <v>100</v>
      </c>
      <c r="K65" s="30">
        <f t="shared" si="120"/>
        <v>64</v>
      </c>
      <c r="L65" s="30">
        <f t="shared" si="120"/>
        <v>49</v>
      </c>
      <c r="M65" s="30">
        <f t="shared" si="120"/>
        <v>100</v>
      </c>
      <c r="N65" s="30">
        <f t="shared" ref="N65:P65" si="121">ROUND((1000/N63),)^2</f>
        <v>64</v>
      </c>
      <c r="O65" s="30">
        <f t="shared" si="121"/>
        <v>49</v>
      </c>
      <c r="P65" s="30">
        <f t="shared" si="121"/>
        <v>100</v>
      </c>
      <c r="Q65" s="30">
        <f t="shared" ref="Q65:S65" si="122">ROUND((1000/Q63),)^2</f>
        <v>64</v>
      </c>
      <c r="R65" s="30">
        <f t="shared" si="122"/>
        <v>49</v>
      </c>
      <c r="S65" s="30">
        <f t="shared" si="122"/>
        <v>100</v>
      </c>
      <c r="T65" s="30">
        <f t="shared" ref="T65:AG65" si="123">ROUND((1000/T63),)^2</f>
        <v>64</v>
      </c>
      <c r="U65" s="30">
        <f t="shared" si="123"/>
        <v>49</v>
      </c>
      <c r="V65" s="30">
        <f t="shared" si="123"/>
        <v>100</v>
      </c>
      <c r="W65" s="30">
        <f t="shared" si="123"/>
        <v>64</v>
      </c>
      <c r="X65" s="30">
        <f t="shared" si="123"/>
        <v>49</v>
      </c>
      <c r="Y65" s="30">
        <f t="shared" si="123"/>
        <v>100</v>
      </c>
      <c r="Z65" s="30">
        <f t="shared" si="123"/>
        <v>64</v>
      </c>
      <c r="AA65" s="30">
        <f t="shared" si="123"/>
        <v>49</v>
      </c>
      <c r="AB65" s="30">
        <f t="shared" si="123"/>
        <v>100</v>
      </c>
      <c r="AC65" s="30">
        <f t="shared" si="123"/>
        <v>64</v>
      </c>
      <c r="AD65" s="30">
        <f t="shared" si="123"/>
        <v>49</v>
      </c>
      <c r="AE65" s="30">
        <f t="shared" si="123"/>
        <v>100</v>
      </c>
      <c r="AF65" s="30">
        <f t="shared" si="123"/>
        <v>64</v>
      </c>
      <c r="AG65" s="30">
        <f t="shared" si="123"/>
        <v>49</v>
      </c>
    </row>
    <row r="66" spans="1:33" x14ac:dyDescent="0.35">
      <c r="A66" s="28" t="s">
        <v>43</v>
      </c>
      <c r="B66" s="27">
        <v>165</v>
      </c>
      <c r="C66" s="28" t="s">
        <v>51</v>
      </c>
      <c r="D66" s="30">
        <f>D65*$B$63</f>
        <v>84.5</v>
      </c>
      <c r="E66" s="30">
        <f>E65*$B$63</f>
        <v>84.5</v>
      </c>
      <c r="F66" s="30">
        <f>F65*$B$63</f>
        <v>50</v>
      </c>
      <c r="G66" s="30">
        <f t="shared" ref="G66:M66" si="124">G65*$B$63</f>
        <v>84.5</v>
      </c>
      <c r="H66" s="30">
        <f t="shared" si="124"/>
        <v>50</v>
      </c>
      <c r="I66" s="30">
        <f t="shared" si="124"/>
        <v>32</v>
      </c>
      <c r="J66" s="30">
        <f t="shared" si="124"/>
        <v>50</v>
      </c>
      <c r="K66" s="30">
        <f t="shared" si="124"/>
        <v>32</v>
      </c>
      <c r="L66" s="30">
        <f t="shared" si="124"/>
        <v>24.5</v>
      </c>
      <c r="M66" s="30">
        <f t="shared" si="124"/>
        <v>50</v>
      </c>
      <c r="N66" s="30">
        <f t="shared" ref="N66:P66" si="125">N65*$B$63</f>
        <v>32</v>
      </c>
      <c r="O66" s="30">
        <f t="shared" si="125"/>
        <v>24.5</v>
      </c>
      <c r="P66" s="30">
        <f t="shared" si="125"/>
        <v>50</v>
      </c>
      <c r="Q66" s="30">
        <f t="shared" ref="Q66:S66" si="126">Q65*$B$63</f>
        <v>32</v>
      </c>
      <c r="R66" s="30">
        <f t="shared" si="126"/>
        <v>24.5</v>
      </c>
      <c r="S66" s="30">
        <f t="shared" si="126"/>
        <v>50</v>
      </c>
      <c r="T66" s="30">
        <f t="shared" ref="T66:AG66" si="127">T65*$B$63</f>
        <v>32</v>
      </c>
      <c r="U66" s="30">
        <f t="shared" si="127"/>
        <v>24.5</v>
      </c>
      <c r="V66" s="30">
        <f t="shared" si="127"/>
        <v>50</v>
      </c>
      <c r="W66" s="30">
        <f t="shared" si="127"/>
        <v>32</v>
      </c>
      <c r="X66" s="30">
        <f t="shared" si="127"/>
        <v>24.5</v>
      </c>
      <c r="Y66" s="30">
        <f t="shared" si="127"/>
        <v>50</v>
      </c>
      <c r="Z66" s="30">
        <f t="shared" si="127"/>
        <v>32</v>
      </c>
      <c r="AA66" s="30">
        <f t="shared" si="127"/>
        <v>24.5</v>
      </c>
      <c r="AB66" s="30">
        <f t="shared" si="127"/>
        <v>50</v>
      </c>
      <c r="AC66" s="30">
        <f t="shared" si="127"/>
        <v>32</v>
      </c>
      <c r="AD66" s="30">
        <f t="shared" si="127"/>
        <v>24.5</v>
      </c>
      <c r="AE66" s="30">
        <f t="shared" si="127"/>
        <v>50</v>
      </c>
      <c r="AF66" s="30">
        <f t="shared" si="127"/>
        <v>32</v>
      </c>
      <c r="AG66" s="30">
        <f t="shared" si="127"/>
        <v>24.5</v>
      </c>
    </row>
    <row r="67" spans="1:33" x14ac:dyDescent="0.35">
      <c r="A67" s="28" t="s">
        <v>44</v>
      </c>
      <c r="B67" s="27">
        <v>5</v>
      </c>
      <c r="C67" s="28" t="s">
        <v>52</v>
      </c>
      <c r="D67" s="30">
        <f t="shared" ref="D67:M67" si="128">D65*$B63</f>
        <v>84.5</v>
      </c>
      <c r="E67" s="30">
        <f t="shared" si="128"/>
        <v>84.5</v>
      </c>
      <c r="F67" s="30">
        <f t="shared" si="128"/>
        <v>50</v>
      </c>
      <c r="G67" s="30">
        <f t="shared" si="128"/>
        <v>84.5</v>
      </c>
      <c r="H67" s="30">
        <f t="shared" si="128"/>
        <v>50</v>
      </c>
      <c r="I67" s="30">
        <f t="shared" si="128"/>
        <v>32</v>
      </c>
      <c r="J67" s="30">
        <f t="shared" si="128"/>
        <v>50</v>
      </c>
      <c r="K67" s="30">
        <f t="shared" si="128"/>
        <v>32</v>
      </c>
      <c r="L67" s="30">
        <f t="shared" si="128"/>
        <v>24.5</v>
      </c>
      <c r="M67" s="30">
        <f t="shared" si="128"/>
        <v>50</v>
      </c>
      <c r="N67" s="30">
        <f t="shared" ref="N67:P67" si="129">N65*$B63</f>
        <v>32</v>
      </c>
      <c r="O67" s="30">
        <f t="shared" si="129"/>
        <v>24.5</v>
      </c>
      <c r="P67" s="30">
        <f t="shared" si="129"/>
        <v>50</v>
      </c>
      <c r="Q67" s="30">
        <f t="shared" ref="Q67:S67" si="130">Q65*$B63</f>
        <v>32</v>
      </c>
      <c r="R67" s="30">
        <f t="shared" si="130"/>
        <v>24.5</v>
      </c>
      <c r="S67" s="30">
        <f t="shared" si="130"/>
        <v>50</v>
      </c>
      <c r="T67" s="30">
        <f t="shared" ref="T67:AG67" si="131">T65*$B63</f>
        <v>32</v>
      </c>
      <c r="U67" s="30">
        <f t="shared" si="131"/>
        <v>24.5</v>
      </c>
      <c r="V67" s="30">
        <f t="shared" si="131"/>
        <v>50</v>
      </c>
      <c r="W67" s="30">
        <f t="shared" si="131"/>
        <v>32</v>
      </c>
      <c r="X67" s="30">
        <f t="shared" si="131"/>
        <v>24.5</v>
      </c>
      <c r="Y67" s="30">
        <f t="shared" si="131"/>
        <v>50</v>
      </c>
      <c r="Z67" s="30">
        <f t="shared" si="131"/>
        <v>32</v>
      </c>
      <c r="AA67" s="30">
        <f t="shared" si="131"/>
        <v>24.5</v>
      </c>
      <c r="AB67" s="30">
        <f t="shared" si="131"/>
        <v>50</v>
      </c>
      <c r="AC67" s="30">
        <f t="shared" si="131"/>
        <v>32</v>
      </c>
      <c r="AD67" s="30">
        <f t="shared" si="131"/>
        <v>24.5</v>
      </c>
      <c r="AE67" s="30">
        <f t="shared" si="131"/>
        <v>50</v>
      </c>
      <c r="AF67" s="30">
        <f t="shared" si="131"/>
        <v>32</v>
      </c>
      <c r="AG67" s="30">
        <f t="shared" si="131"/>
        <v>24.5</v>
      </c>
    </row>
    <row r="68" spans="1:33" x14ac:dyDescent="0.35">
      <c r="A68" s="28" t="s">
        <v>45</v>
      </c>
      <c r="B68" s="27">
        <v>6500</v>
      </c>
      <c r="C68" s="28" t="s">
        <v>53</v>
      </c>
      <c r="D68" s="27">
        <f t="shared" ref="D68:M68" si="132">D65*$B64</f>
        <v>10140</v>
      </c>
      <c r="E68" s="27">
        <f t="shared" si="132"/>
        <v>10140</v>
      </c>
      <c r="F68" s="27">
        <f t="shared" si="132"/>
        <v>6000</v>
      </c>
      <c r="G68" s="27">
        <f t="shared" si="132"/>
        <v>10140</v>
      </c>
      <c r="H68" s="27">
        <f t="shared" si="132"/>
        <v>6000</v>
      </c>
      <c r="I68" s="27">
        <f t="shared" si="132"/>
        <v>3840</v>
      </c>
      <c r="J68" s="27">
        <f t="shared" si="132"/>
        <v>6000</v>
      </c>
      <c r="K68" s="27">
        <f t="shared" si="132"/>
        <v>3840</v>
      </c>
      <c r="L68" s="27">
        <f t="shared" si="132"/>
        <v>2940</v>
      </c>
      <c r="M68" s="27">
        <f t="shared" si="132"/>
        <v>6000</v>
      </c>
      <c r="N68" s="27">
        <f t="shared" ref="N68:P68" si="133">N65*$B64</f>
        <v>3840</v>
      </c>
      <c r="O68" s="27">
        <f t="shared" si="133"/>
        <v>2940</v>
      </c>
      <c r="P68" s="27">
        <f t="shared" si="133"/>
        <v>6000</v>
      </c>
      <c r="Q68" s="27">
        <f t="shared" ref="Q68:S68" si="134">Q65*$B64</f>
        <v>3840</v>
      </c>
      <c r="R68" s="27">
        <f t="shared" si="134"/>
        <v>2940</v>
      </c>
      <c r="S68" s="27">
        <f t="shared" si="134"/>
        <v>6000</v>
      </c>
      <c r="T68" s="27">
        <f t="shared" ref="T68:AG68" si="135">T65*$B64</f>
        <v>3840</v>
      </c>
      <c r="U68" s="27">
        <f t="shared" si="135"/>
        <v>2940</v>
      </c>
      <c r="V68" s="27">
        <f t="shared" si="135"/>
        <v>6000</v>
      </c>
      <c r="W68" s="27">
        <f t="shared" si="135"/>
        <v>3840</v>
      </c>
      <c r="X68" s="27">
        <f t="shared" si="135"/>
        <v>2940</v>
      </c>
      <c r="Y68" s="27">
        <f t="shared" si="135"/>
        <v>6000</v>
      </c>
      <c r="Z68" s="27">
        <f t="shared" si="135"/>
        <v>3840</v>
      </c>
      <c r="AA68" s="27">
        <f t="shared" si="135"/>
        <v>2940</v>
      </c>
      <c r="AB68" s="27">
        <f t="shared" si="135"/>
        <v>6000</v>
      </c>
      <c r="AC68" s="27">
        <f t="shared" si="135"/>
        <v>3840</v>
      </c>
      <c r="AD68" s="27">
        <f t="shared" si="135"/>
        <v>2940</v>
      </c>
      <c r="AE68" s="27">
        <f t="shared" si="135"/>
        <v>6000</v>
      </c>
      <c r="AF68" s="27">
        <f t="shared" si="135"/>
        <v>3840</v>
      </c>
      <c r="AG68" s="27">
        <f t="shared" si="135"/>
        <v>2940</v>
      </c>
    </row>
    <row r="69" spans="1:33" x14ac:dyDescent="0.35">
      <c r="A69" s="28" t="s">
        <v>46</v>
      </c>
      <c r="B69" s="27">
        <v>140</v>
      </c>
      <c r="C69" s="28" t="s">
        <v>54</v>
      </c>
      <c r="D69" s="27">
        <v>5300</v>
      </c>
      <c r="E69" s="27">
        <v>5100</v>
      </c>
      <c r="F69" s="27">
        <v>3500</v>
      </c>
      <c r="G69" s="27">
        <v>4900</v>
      </c>
      <c r="H69" s="27">
        <v>3400</v>
      </c>
      <c r="I69" s="27">
        <v>2600</v>
      </c>
      <c r="J69" s="27">
        <v>3200</v>
      </c>
      <c r="K69" s="27">
        <v>2400</v>
      </c>
      <c r="L69" s="27">
        <v>1750</v>
      </c>
      <c r="M69" s="27">
        <v>3059</v>
      </c>
      <c r="N69" s="27">
        <v>2300</v>
      </c>
      <c r="O69" s="27">
        <v>1700</v>
      </c>
      <c r="P69" s="27">
        <v>3000</v>
      </c>
      <c r="Q69" s="27">
        <v>1650</v>
      </c>
      <c r="R69" s="27">
        <v>1700</v>
      </c>
      <c r="S69" s="27">
        <v>2750</v>
      </c>
      <c r="T69" s="27">
        <v>1600</v>
      </c>
      <c r="U69" s="27">
        <v>1600</v>
      </c>
      <c r="V69" s="27">
        <v>2550</v>
      </c>
      <c r="W69" s="27">
        <v>2000</v>
      </c>
      <c r="X69" s="27">
        <v>1500</v>
      </c>
      <c r="Y69" s="27">
        <v>2400</v>
      </c>
      <c r="Z69" s="27">
        <v>1850</v>
      </c>
      <c r="AA69" s="27">
        <v>1400</v>
      </c>
      <c r="AB69" s="27">
        <v>2300</v>
      </c>
      <c r="AC69" s="27">
        <v>1750</v>
      </c>
      <c r="AD69" s="27">
        <v>1300</v>
      </c>
      <c r="AE69" s="27">
        <v>2100</v>
      </c>
      <c r="AF69" s="27">
        <v>1650</v>
      </c>
      <c r="AG69" s="27">
        <v>1200</v>
      </c>
    </row>
  </sheetData>
  <mergeCells count="64">
    <mergeCell ref="AT52:AV52"/>
    <mergeCell ref="AW52:AY52"/>
    <mergeCell ref="E62:F62"/>
    <mergeCell ref="G62:I62"/>
    <mergeCell ref="J62:L62"/>
    <mergeCell ref="M62:O62"/>
    <mergeCell ref="P62:R62"/>
    <mergeCell ref="S62:U62"/>
    <mergeCell ref="V62:X62"/>
    <mergeCell ref="Y62:AA62"/>
    <mergeCell ref="AB52:AD52"/>
    <mergeCell ref="AE52:AG52"/>
    <mergeCell ref="AH52:AJ52"/>
    <mergeCell ref="AK52:AM52"/>
    <mergeCell ref="AQ52:AS52"/>
    <mergeCell ref="AC42:AG42"/>
    <mergeCell ref="AH42:AL42"/>
    <mergeCell ref="AM42:AQ42"/>
    <mergeCell ref="AB62:AD62"/>
    <mergeCell ref="AE62:AG62"/>
    <mergeCell ref="E52:F52"/>
    <mergeCell ref="G52:I52"/>
    <mergeCell ref="J52:M52"/>
    <mergeCell ref="N52:Q52"/>
    <mergeCell ref="R52:U52"/>
    <mergeCell ref="E42:F42"/>
    <mergeCell ref="G42:I42"/>
    <mergeCell ref="J42:M42"/>
    <mergeCell ref="N42:R42"/>
    <mergeCell ref="S42:W42"/>
    <mergeCell ref="AE32:AI32"/>
    <mergeCell ref="AJ32:AN32"/>
    <mergeCell ref="V52:X52"/>
    <mergeCell ref="Y52:AA52"/>
    <mergeCell ref="O41:Z41"/>
    <mergeCell ref="X42:AB42"/>
    <mergeCell ref="AN52:AP52"/>
    <mergeCell ref="E32:F32"/>
    <mergeCell ref="G32:J32"/>
    <mergeCell ref="K32:O32"/>
    <mergeCell ref="D22:E22"/>
    <mergeCell ref="F22:G22"/>
    <mergeCell ref="H22:I22"/>
    <mergeCell ref="J22:K22"/>
    <mergeCell ref="O31:Z31"/>
    <mergeCell ref="P32:T32"/>
    <mergeCell ref="U32:Y32"/>
    <mergeCell ref="Z32:AD32"/>
    <mergeCell ref="V12:X12"/>
    <mergeCell ref="Y12:AA12"/>
    <mergeCell ref="Y2:AB2"/>
    <mergeCell ref="AC2:AF2"/>
    <mergeCell ref="AG2:AI2"/>
    <mergeCell ref="U2:X2"/>
    <mergeCell ref="S12:U12"/>
    <mergeCell ref="D12:F12"/>
    <mergeCell ref="M2:P2"/>
    <mergeCell ref="Q2:T2"/>
    <mergeCell ref="E2:G2"/>
    <mergeCell ref="H2:L2"/>
    <mergeCell ref="G12:I12"/>
    <mergeCell ref="J12:L12"/>
    <mergeCell ref="M12:O12"/>
    <mergeCell ref="P12:R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Teleline, PRISM 120lm and MINI </vt:lpstr>
      <vt:lpstr>PRISM 120lm in the leg</vt:lpstr>
      <vt:lpstr>MINI in the leg</vt:lpstr>
      <vt:lpstr>DS15, DS20 double sided boxes</vt:lpstr>
      <vt:lpstr>PRISM PRO, TelelineTMAX 170lm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ingri</cp:lastModifiedBy>
  <dcterms:created xsi:type="dcterms:W3CDTF">2019-09-19T06:36:26Z</dcterms:created>
  <dcterms:modified xsi:type="dcterms:W3CDTF">2025-04-30T09:23:22Z</dcterms:modified>
</cp:coreProperties>
</file>